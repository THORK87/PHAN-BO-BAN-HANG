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7490\Desktop\"/>
    </mc:Choice>
  </mc:AlternateContent>
  <xr:revisionPtr revIDLastSave="0" documentId="13_ncr:1_{BDE12D55-0D1A-4831-A6C4-C4D1D415BDC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Vật tư hàng hóa" sheetId="1" r:id="rId1"/>
    <sheet name="T4.2026" sheetId="2" r:id="rId2"/>
    <sheet name="Phân bổ bán hàng" sheetId="3" state="hidden" r:id="rId3"/>
    <sheet name="BAO CAO BAN HANG" sheetId="4" r:id="rId4"/>
    <sheet name="SL bán theo ngà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3" i="5" l="1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3" i="5"/>
  <c r="Q8" i="5"/>
  <c r="P8" i="5"/>
  <c r="O8" i="5"/>
  <c r="N8" i="5"/>
  <c r="M8" i="5"/>
  <c r="L8" i="5"/>
  <c r="K8" i="5"/>
  <c r="J8" i="5"/>
  <c r="I8" i="5"/>
  <c r="H8" i="5"/>
  <c r="G8" i="5"/>
  <c r="F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F3" i="5"/>
  <c r="I3" i="4" s="1"/>
  <c r="D3" i="5"/>
  <c r="B2" i="5"/>
  <c r="I80" i="3"/>
  <c r="J80" i="3" s="1"/>
  <c r="A80" i="3" a="1"/>
  <c r="A80" i="3" s="1"/>
  <c r="I79" i="3"/>
  <c r="J79" i="3" s="1"/>
  <c r="A79" i="3" a="1"/>
  <c r="A79" i="3" s="1"/>
  <c r="I78" i="3"/>
  <c r="J78" i="3" s="1"/>
  <c r="A78" i="3" a="1"/>
  <c r="A78" i="3" s="1"/>
  <c r="I77" i="3"/>
  <c r="J77" i="3" s="1"/>
  <c r="A77" i="3" a="1"/>
  <c r="A77" i="3" s="1"/>
  <c r="I76" i="3"/>
  <c r="J76" i="3" s="1"/>
  <c r="A76" i="3" a="1"/>
  <c r="A76" i="3" s="1"/>
  <c r="I75" i="3"/>
  <c r="J75" i="3" s="1"/>
  <c r="A75" i="3" a="1"/>
  <c r="A75" i="3" s="1"/>
  <c r="I74" i="3"/>
  <c r="J74" i="3" s="1"/>
  <c r="A74" i="3" a="1"/>
  <c r="A74" i="3" s="1"/>
  <c r="I73" i="3"/>
  <c r="J73" i="3" s="1"/>
  <c r="A73" i="3" a="1"/>
  <c r="A73" i="3" s="1"/>
  <c r="I72" i="3"/>
  <c r="J72" i="3" s="1"/>
  <c r="A72" i="3" a="1"/>
  <c r="A72" i="3" s="1"/>
  <c r="I71" i="3"/>
  <c r="J71" i="3" s="1"/>
  <c r="A71" i="3" a="1"/>
  <c r="A71" i="3" s="1"/>
  <c r="I70" i="3"/>
  <c r="J70" i="3" s="1"/>
  <c r="A70" i="3" a="1"/>
  <c r="A70" i="3" s="1"/>
  <c r="I69" i="3"/>
  <c r="J69" i="3" s="1"/>
  <c r="A69" i="3" a="1"/>
  <c r="A69" i="3" s="1"/>
  <c r="I68" i="3"/>
  <c r="J68" i="3" s="1"/>
  <c r="A68" i="3" a="1"/>
  <c r="A68" i="3" s="1"/>
  <c r="I67" i="3"/>
  <c r="J67" i="3" s="1"/>
  <c r="A67" i="3" a="1"/>
  <c r="A67" i="3" s="1"/>
  <c r="I66" i="3"/>
  <c r="J66" i="3" s="1"/>
  <c r="A66" i="3" a="1"/>
  <c r="A66" i="3" s="1"/>
  <c r="I65" i="3"/>
  <c r="J65" i="3" s="1"/>
  <c r="A65" i="3" a="1"/>
  <c r="A65" i="3" s="1"/>
  <c r="I64" i="3"/>
  <c r="J64" i="3" s="1"/>
  <c r="A64" i="3" a="1"/>
  <c r="A64" i="3" s="1"/>
  <c r="I63" i="3"/>
  <c r="J63" i="3" s="1"/>
  <c r="A63" i="3" a="1"/>
  <c r="A63" i="3" s="1"/>
  <c r="I62" i="3"/>
  <c r="J62" i="3" s="1"/>
  <c r="A62" i="3" a="1"/>
  <c r="A62" i="3" s="1"/>
  <c r="I61" i="3"/>
  <c r="J61" i="3" s="1"/>
  <c r="A61" i="3" a="1"/>
  <c r="A61" i="3" s="1"/>
  <c r="I60" i="3"/>
  <c r="J60" i="3" s="1"/>
  <c r="A60" i="3" a="1"/>
  <c r="A60" i="3" s="1"/>
  <c r="I59" i="3"/>
  <c r="J59" i="3" s="1"/>
  <c r="A59" i="3" a="1"/>
  <c r="A59" i="3" s="1"/>
  <c r="I58" i="3"/>
  <c r="J58" i="3" s="1"/>
  <c r="A58" i="3" a="1"/>
  <c r="A58" i="3" s="1"/>
  <c r="I57" i="3"/>
  <c r="J57" i="3" s="1"/>
  <c r="A57" i="3" a="1"/>
  <c r="A57" i="3" s="1"/>
  <c r="I56" i="3"/>
  <c r="J56" i="3" s="1"/>
  <c r="A56" i="3" a="1"/>
  <c r="A56" i="3" s="1"/>
  <c r="I55" i="3"/>
  <c r="J55" i="3" s="1"/>
  <c r="A55" i="3" a="1"/>
  <c r="A55" i="3" s="1"/>
  <c r="I54" i="3"/>
  <c r="J54" i="3" s="1"/>
  <c r="A54" i="3" a="1"/>
  <c r="A54" i="3" s="1"/>
  <c r="I53" i="3"/>
  <c r="J53" i="3" s="1"/>
  <c r="H53" i="3"/>
  <c r="G53" i="3"/>
  <c r="F53" i="3" a="1"/>
  <c r="F53" i="3" s="1"/>
  <c r="E53" i="3" a="1"/>
  <c r="E53" i="3" s="1"/>
  <c r="A53" i="3" a="1"/>
  <c r="A53" i="3"/>
  <c r="I52" i="3"/>
  <c r="J52" i="3" s="1"/>
  <c r="A52" i="3" a="1"/>
  <c r="A52" i="3"/>
  <c r="I51" i="3"/>
  <c r="J51" i="3" s="1"/>
  <c r="A51" i="3" a="1"/>
  <c r="A51" i="3"/>
  <c r="I50" i="3"/>
  <c r="J50" i="3" s="1"/>
  <c r="A50" i="3" a="1"/>
  <c r="A50" i="3"/>
  <c r="I49" i="3"/>
  <c r="J49" i="3" s="1"/>
  <c r="A49" i="3" a="1"/>
  <c r="A49" i="3"/>
  <c r="I48" i="3"/>
  <c r="J48" i="3" s="1"/>
  <c r="A48" i="3" a="1"/>
  <c r="A48" i="3"/>
  <c r="I47" i="3"/>
  <c r="J47" i="3" s="1"/>
  <c r="A47" i="3" a="1"/>
  <c r="A47" i="3"/>
  <c r="I46" i="3"/>
  <c r="J46" i="3" s="1"/>
  <c r="A46" i="3" a="1"/>
  <c r="A46" i="3"/>
  <c r="I45" i="3"/>
  <c r="J45" i="3" s="1"/>
  <c r="A45" i="3" a="1"/>
  <c r="A45" i="3"/>
  <c r="I44" i="3"/>
  <c r="J44" i="3" s="1"/>
  <c r="A44" i="3" a="1"/>
  <c r="A44" i="3"/>
  <c r="I43" i="3"/>
  <c r="J43" i="3" s="1"/>
  <c r="A43" i="3" a="1"/>
  <c r="A43" i="3"/>
  <c r="I42" i="3"/>
  <c r="J42" i="3" s="1"/>
  <c r="A42" i="3" a="1"/>
  <c r="A42" i="3"/>
  <c r="I41" i="3"/>
  <c r="J41" i="3" s="1"/>
  <c r="A41" i="3" a="1"/>
  <c r="A41" i="3"/>
  <c r="I40" i="3"/>
  <c r="J40" i="3" s="1"/>
  <c r="A40" i="3" a="1"/>
  <c r="A40" i="3"/>
  <c r="I39" i="3"/>
  <c r="J39" i="3" s="1"/>
  <c r="A39" i="3" a="1"/>
  <c r="A39" i="3"/>
  <c r="I38" i="3"/>
  <c r="J38" i="3" s="1"/>
  <c r="A38" i="3" a="1"/>
  <c r="A38" i="3"/>
  <c r="I37" i="3"/>
  <c r="J37" i="3" s="1"/>
  <c r="A37" i="3" a="1"/>
  <c r="A37" i="3"/>
  <c r="I36" i="3"/>
  <c r="J36" i="3" s="1"/>
  <c r="A36" i="3" a="1"/>
  <c r="A36" i="3"/>
  <c r="I35" i="3"/>
  <c r="J35" i="3" s="1"/>
  <c r="A35" i="3" a="1"/>
  <c r="A35" i="3"/>
  <c r="I34" i="3"/>
  <c r="J34" i="3" s="1"/>
  <c r="A34" i="3" a="1"/>
  <c r="A34" i="3"/>
  <c r="I33" i="3"/>
  <c r="J33" i="3" s="1"/>
  <c r="A33" i="3" a="1"/>
  <c r="A33" i="3"/>
  <c r="I32" i="3"/>
  <c r="J32" i="3" s="1"/>
  <c r="A32" i="3" a="1"/>
  <c r="A32" i="3"/>
  <c r="I31" i="3"/>
  <c r="J31" i="3" s="1"/>
  <c r="A31" i="3" a="1"/>
  <c r="A31" i="3"/>
  <c r="I30" i="3"/>
  <c r="J30" i="3" s="1"/>
  <c r="A30" i="3" a="1"/>
  <c r="A30" i="3"/>
  <c r="I29" i="3"/>
  <c r="J29" i="3" s="1"/>
  <c r="A29" i="3" a="1"/>
  <c r="A29" i="3"/>
  <c r="I28" i="3"/>
  <c r="J28" i="3" s="1"/>
  <c r="A28" i="3" a="1"/>
  <c r="A28" i="3"/>
  <c r="I27" i="3"/>
  <c r="J27" i="3" s="1"/>
  <c r="A27" i="3" a="1"/>
  <c r="A27" i="3"/>
  <c r="I26" i="3"/>
  <c r="J26" i="3" s="1"/>
  <c r="A26" i="3" a="1"/>
  <c r="A26" i="3"/>
  <c r="I25" i="3"/>
  <c r="J25" i="3" s="1"/>
  <c r="A25" i="3" a="1"/>
  <c r="A25" i="3"/>
  <c r="I24" i="3"/>
  <c r="J24" i="3" s="1"/>
  <c r="A24" i="3" a="1"/>
  <c r="A24" i="3"/>
  <c r="I23" i="3"/>
  <c r="J23" i="3" s="1"/>
  <c r="A23" i="3" a="1"/>
  <c r="A23" i="3"/>
  <c r="I22" i="3"/>
  <c r="J22" i="3" s="1"/>
  <c r="A22" i="3" a="1"/>
  <c r="A22" i="3"/>
  <c r="I21" i="3"/>
  <c r="J21" i="3" s="1"/>
  <c r="A21" i="3" a="1"/>
  <c r="A21" i="3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AV82" i="5" l="1"/>
  <c r="BK82" i="5"/>
  <c r="BN82" i="5"/>
  <c r="BO82" i="5"/>
  <c r="AY82" i="5"/>
  <c r="AX82" i="5"/>
  <c r="AW82" i="5"/>
  <c r="AO82" i="5"/>
  <c r="AU82" i="5"/>
  <c r="AT82" i="5"/>
  <c r="AS82" i="5"/>
  <c r="AR82" i="5"/>
  <c r="AQ82" i="5"/>
  <c r="AP82" i="5"/>
  <c r="BM82" i="5"/>
  <c r="AN82" i="5"/>
  <c r="AM82" i="5"/>
  <c r="AL82" i="5"/>
  <c r="BJ82" i="5"/>
  <c r="BL82" i="5"/>
  <c r="BI82" i="5"/>
  <c r="BH82" i="5"/>
  <c r="BG82" i="5"/>
  <c r="BF82" i="5"/>
  <c r="AZ82" i="5"/>
  <c r="BE82" i="5"/>
  <c r="BD82" i="5"/>
  <c r="BC82" i="5"/>
  <c r="BB82" i="5"/>
  <c r="BA82" i="5"/>
  <c r="BJ81" i="5"/>
  <c r="AN81" i="5"/>
  <c r="AM81" i="5"/>
  <c r="BG81" i="5"/>
  <c r="BF81" i="5"/>
  <c r="BE81" i="5"/>
  <c r="BO81" i="5"/>
  <c r="BC81" i="5"/>
  <c r="AR81" i="5"/>
  <c r="BB81" i="5"/>
  <c r="BA81" i="5"/>
  <c r="AZ81" i="5"/>
  <c r="AY81" i="5"/>
  <c r="AX81" i="5"/>
  <c r="AW81" i="5"/>
  <c r="BD81" i="5"/>
  <c r="AU81" i="5"/>
  <c r="AT81" i="5"/>
  <c r="AS81" i="5"/>
  <c r="BN81" i="5"/>
  <c r="AQ81" i="5"/>
  <c r="AP81" i="5"/>
  <c r="AV81" i="5"/>
  <c r="BM81" i="5"/>
  <c r="BL81" i="5"/>
  <c r="BK81" i="5"/>
  <c r="BI81" i="5"/>
  <c r="AL81" i="5"/>
  <c r="BH81" i="5"/>
  <c r="AO81" i="5"/>
  <c r="AN80" i="5"/>
  <c r="AM80" i="5"/>
  <c r="BC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AL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S79" i="5"/>
  <c r="AR79" i="5"/>
  <c r="AW79" i="5"/>
  <c r="BA79" i="5"/>
  <c r="BO79" i="5"/>
  <c r="BN79" i="5"/>
  <c r="BM79" i="5"/>
  <c r="BK79" i="5"/>
  <c r="BJ79" i="5"/>
  <c r="AZ79" i="5"/>
  <c r="AY79" i="5"/>
  <c r="AX79" i="5"/>
  <c r="AV79" i="5"/>
  <c r="AU79" i="5"/>
  <c r="AT79" i="5"/>
  <c r="AP79" i="5"/>
  <c r="AL79" i="5"/>
  <c r="BI79" i="5"/>
  <c r="BH79" i="5"/>
  <c r="BG79" i="5"/>
  <c r="BF79" i="5"/>
  <c r="BE79" i="5"/>
  <c r="BD79" i="5"/>
  <c r="BB79" i="5"/>
  <c r="AM79" i="5"/>
  <c r="AN79" i="5"/>
  <c r="AO79" i="5"/>
  <c r="BL79" i="5"/>
  <c r="AQ79" i="5"/>
  <c r="BC79" i="5"/>
  <c r="BM78" i="5"/>
  <c r="BO78" i="5"/>
  <c r="BL78" i="5"/>
  <c r="BK78" i="5"/>
  <c r="BJ78" i="5"/>
  <c r="BI78" i="5"/>
  <c r="AN78" i="5"/>
  <c r="AR78" i="5"/>
  <c r="BA78" i="5"/>
  <c r="BG78" i="5"/>
  <c r="BC78" i="5"/>
  <c r="AV78" i="5"/>
  <c r="AS78" i="5"/>
  <c r="BH78" i="5"/>
  <c r="AX78" i="5"/>
  <c r="AZ78" i="5"/>
  <c r="BD78" i="5"/>
  <c r="AU78" i="5"/>
  <c r="BE78" i="5"/>
  <c r="BN78" i="5"/>
  <c r="BF78" i="5"/>
  <c r="AM78" i="5"/>
  <c r="BB78" i="5"/>
  <c r="AO78" i="5"/>
  <c r="AY78" i="5"/>
  <c r="AQ78" i="5"/>
  <c r="AL78" i="5"/>
  <c r="AP78" i="5"/>
  <c r="AT78" i="5"/>
  <c r="AW78" i="5"/>
  <c r="AT77" i="5"/>
  <c r="AX77" i="5"/>
  <c r="BD77" i="5"/>
  <c r="BH77" i="5"/>
  <c r="BK77" i="5"/>
  <c r="BN77" i="5"/>
  <c r="BA77" i="5"/>
  <c r="BO77" i="5"/>
  <c r="AY77" i="5"/>
  <c r="AV77" i="5"/>
  <c r="AQ77" i="5"/>
  <c r="BM77" i="5"/>
  <c r="BJ77" i="5"/>
  <c r="BB77" i="5"/>
  <c r="AU77" i="5"/>
  <c r="AP77" i="5"/>
  <c r="AS77" i="5"/>
  <c r="AM77" i="5"/>
  <c r="AW77" i="5"/>
  <c r="AL77" i="5"/>
  <c r="AZ77" i="5"/>
  <c r="BG77" i="5"/>
  <c r="BL77" i="5"/>
  <c r="BC77" i="5"/>
  <c r="BF77" i="5"/>
  <c r="BI77" i="5"/>
  <c r="BE77" i="5"/>
  <c r="AO77" i="5"/>
  <c r="AR77" i="5"/>
  <c r="AN77" i="5"/>
  <c r="AQ76" i="5"/>
  <c r="AW76" i="5"/>
  <c r="BH76" i="5"/>
  <c r="BC76" i="5"/>
  <c r="AY76" i="5"/>
  <c r="AP76" i="5"/>
  <c r="BI76" i="5"/>
  <c r="BN76" i="5"/>
  <c r="BG76" i="5"/>
  <c r="AR76" i="5"/>
  <c r="AN76" i="5"/>
  <c r="BM76" i="5"/>
  <c r="BD76" i="5"/>
  <c r="BK76" i="5"/>
  <c r="BA76" i="5"/>
  <c r="AT76" i="5"/>
  <c r="BB76" i="5"/>
  <c r="AL76" i="5"/>
  <c r="BO76" i="5"/>
  <c r="BJ76" i="5"/>
  <c r="BE76" i="5"/>
  <c r="AO76" i="5"/>
  <c r="AU76" i="5"/>
  <c r="AZ76" i="5"/>
  <c r="BF76" i="5"/>
  <c r="AS76" i="5"/>
  <c r="BL76" i="5"/>
  <c r="AM76" i="5"/>
  <c r="AV76" i="5"/>
  <c r="AX76" i="5"/>
  <c r="AL75" i="5"/>
  <c r="AO75" i="5"/>
  <c r="AR75" i="5"/>
  <c r="AU75" i="5"/>
  <c r="BC75" i="5"/>
  <c r="BJ75" i="5"/>
  <c r="BN75" i="5"/>
  <c r="BG75" i="5"/>
  <c r="BL75" i="5"/>
  <c r="BI75" i="5"/>
  <c r="BF75" i="5"/>
  <c r="BB75" i="5"/>
  <c r="AX75" i="5"/>
  <c r="AT75" i="5"/>
  <c r="AQ75" i="5"/>
  <c r="AY75" i="5"/>
  <c r="BE75" i="5"/>
  <c r="BK75" i="5"/>
  <c r="BO75" i="5"/>
  <c r="BM75" i="5"/>
  <c r="BH75" i="5"/>
  <c r="AZ75" i="5"/>
  <c r="AS75" i="5"/>
  <c r="AP75" i="5"/>
  <c r="BD75" i="5"/>
  <c r="BA75" i="5"/>
  <c r="AW75" i="5"/>
  <c r="AN75" i="5"/>
  <c r="AM75" i="5"/>
  <c r="AV75" i="5"/>
  <c r="AV69" i="5"/>
  <c r="AQ69" i="5"/>
  <c r="AP69" i="5"/>
  <c r="AR69" i="5"/>
  <c r="AT69" i="5"/>
  <c r="AM69" i="5"/>
  <c r="AS69" i="5"/>
  <c r="AO69" i="5"/>
  <c r="AN69" i="5"/>
  <c r="AU69" i="5"/>
  <c r="AL69" i="5"/>
  <c r="BE68" i="5"/>
  <c r="BG68" i="5"/>
  <c r="BJ68" i="5"/>
  <c r="BM68" i="5"/>
  <c r="BK68" i="5"/>
  <c r="BF68" i="5"/>
  <c r="AP68" i="5"/>
  <c r="AM68" i="5"/>
  <c r="BL68" i="5"/>
  <c r="AX68" i="5"/>
  <c r="AT68" i="5"/>
  <c r="AS68" i="5"/>
  <c r="AV68" i="5"/>
  <c r="BA68" i="5"/>
  <c r="AL68" i="5"/>
  <c r="AQ68" i="5"/>
  <c r="AU68" i="5"/>
  <c r="AY68" i="5"/>
  <c r="BD68" i="5"/>
  <c r="BH68" i="5"/>
  <c r="BC68" i="5"/>
  <c r="AW68" i="5"/>
  <c r="AO68" i="5"/>
  <c r="BO68" i="5"/>
  <c r="AR68" i="5"/>
  <c r="BI68" i="5"/>
  <c r="BN68" i="5"/>
  <c r="AN68" i="5"/>
  <c r="AZ68" i="5"/>
  <c r="BB68" i="5"/>
  <c r="AN67" i="5"/>
  <c r="AS67" i="5"/>
  <c r="AY67" i="5"/>
  <c r="BD67" i="5"/>
  <c r="BO67" i="5"/>
  <c r="BG67" i="5"/>
  <c r="AZ67" i="5"/>
  <c r="AU67" i="5"/>
  <c r="BC67" i="5"/>
  <c r="BF67" i="5"/>
  <c r="BJ67" i="5"/>
  <c r="BN67" i="5"/>
  <c r="AT67" i="5"/>
  <c r="BK67" i="5"/>
  <c r="AV67" i="5"/>
  <c r="AX67" i="5"/>
  <c r="BB67" i="5"/>
  <c r="BI67" i="5"/>
  <c r="AL67" i="5"/>
  <c r="BL67" i="5"/>
  <c r="AR67" i="5"/>
  <c r="AO67" i="5"/>
  <c r="AM67" i="5"/>
  <c r="AP67" i="5"/>
  <c r="BA67" i="5"/>
  <c r="BM67" i="5"/>
  <c r="AQ67" i="5"/>
  <c r="BH67" i="5"/>
  <c r="BE67" i="5"/>
  <c r="AW67" i="5"/>
  <c r="AV66" i="5"/>
  <c r="AY66" i="5"/>
  <c r="BD66" i="5"/>
  <c r="BH66" i="5"/>
  <c r="BG66" i="5"/>
  <c r="AL66" i="5"/>
  <c r="AQ66" i="5"/>
  <c r="AU66" i="5"/>
  <c r="BA66" i="5"/>
  <c r="BI66" i="5"/>
  <c r="BM66" i="5"/>
  <c r="AP66" i="5"/>
  <c r="AT66" i="5"/>
  <c r="AW66" i="5"/>
  <c r="BB66" i="5"/>
  <c r="BE66" i="5"/>
  <c r="BK66" i="5"/>
  <c r="BN66" i="5"/>
  <c r="AM66" i="5"/>
  <c r="AR66" i="5"/>
  <c r="AZ66" i="5"/>
  <c r="BF66" i="5"/>
  <c r="BJ66" i="5"/>
  <c r="AN66" i="5"/>
  <c r="AS66" i="5"/>
  <c r="AX66" i="5"/>
  <c r="BC66" i="5"/>
  <c r="BL66" i="5"/>
  <c r="BO66" i="5"/>
  <c r="AO66" i="5"/>
  <c r="BF65" i="5"/>
  <c r="AZ65" i="5"/>
  <c r="AS65" i="5"/>
  <c r="AO65" i="5"/>
  <c r="AL65" i="5"/>
  <c r="AU65" i="5"/>
  <c r="AX65" i="5"/>
  <c r="BB65" i="5"/>
  <c r="BD65" i="5"/>
  <c r="BK65" i="5"/>
  <c r="BG65" i="5"/>
  <c r="BI65" i="5"/>
  <c r="AV65" i="5"/>
  <c r="BM65" i="5"/>
  <c r="AN65" i="5"/>
  <c r="BN65" i="5"/>
  <c r="AM65" i="5"/>
  <c r="BJ65" i="5"/>
  <c r="BA65" i="5"/>
  <c r="AY65" i="5"/>
  <c r="AR65" i="5"/>
  <c r="AQ65" i="5"/>
  <c r="AP65" i="5"/>
  <c r="BO65" i="5"/>
  <c r="AT65" i="5"/>
  <c r="AW65" i="5"/>
  <c r="BE65" i="5"/>
  <c r="BL65" i="5"/>
  <c r="BC65" i="5"/>
  <c r="BH65" i="5"/>
  <c r="AP64" i="5"/>
  <c r="BE64" i="5"/>
  <c r="BF64" i="5"/>
  <c r="AY64" i="5"/>
  <c r="AV64" i="5"/>
  <c r="AS64" i="5"/>
  <c r="AN64" i="5"/>
  <c r="AR64" i="5"/>
  <c r="AZ64" i="5"/>
  <c r="BB64" i="5"/>
  <c r="BN64" i="5"/>
  <c r="BM64" i="5"/>
  <c r="BL64" i="5"/>
  <c r="BK64" i="5"/>
  <c r="BJ64" i="5"/>
  <c r="BI64" i="5"/>
  <c r="BH64" i="5"/>
  <c r="BC64" i="5"/>
  <c r="AX64" i="5"/>
  <c r="AT64" i="5"/>
  <c r="AQ64" i="5"/>
  <c r="AM64" i="5"/>
  <c r="AO64" i="5"/>
  <c r="BO64" i="5"/>
  <c r="BA64" i="5"/>
  <c r="BD64" i="5"/>
  <c r="BG64" i="5"/>
  <c r="AW64" i="5"/>
  <c r="AL64" i="5"/>
  <c r="AU64" i="5"/>
  <c r="BD63" i="5"/>
  <c r="BI63" i="5"/>
  <c r="BL63" i="5"/>
  <c r="BJ63" i="5"/>
  <c r="AW63" i="5"/>
  <c r="AZ63" i="5"/>
  <c r="BN63" i="5"/>
  <c r="BF63" i="5"/>
  <c r="AY63" i="5"/>
  <c r="AX63" i="5"/>
  <c r="BA63" i="5"/>
  <c r="BE63" i="5"/>
  <c r="BB63" i="5"/>
  <c r="BH63" i="5"/>
  <c r="BK63" i="5"/>
  <c r="BO63" i="5"/>
  <c r="BM63" i="5"/>
  <c r="BG63" i="5"/>
  <c r="BC63" i="5"/>
  <c r="AQ54" i="5"/>
  <c r="AN54" i="5"/>
  <c r="AS54" i="5"/>
  <c r="AZ54" i="5"/>
  <c r="AT54" i="5"/>
  <c r="AW54" i="5"/>
  <c r="AO54" i="5"/>
  <c r="AR54" i="5"/>
  <c r="AX54" i="5"/>
  <c r="AY54" i="5"/>
  <c r="AU54" i="5"/>
  <c r="AP54" i="5"/>
  <c r="AM54" i="5"/>
  <c r="AV54" i="5"/>
  <c r="AL54" i="5"/>
  <c r="AL53" i="5"/>
  <c r="AQ53" i="5"/>
  <c r="BN53" i="5"/>
  <c r="AY53" i="5"/>
  <c r="BD53" i="5"/>
  <c r="BI53" i="5"/>
  <c r="AR53" i="5"/>
  <c r="AN53" i="5"/>
  <c r="BO53" i="5"/>
  <c r="BK53" i="5"/>
  <c r="BG53" i="5"/>
  <c r="BA53" i="5"/>
  <c r="AW53" i="5"/>
  <c r="AS53" i="5"/>
  <c r="BH53" i="5"/>
  <c r="BM53" i="5"/>
  <c r="BF53" i="5"/>
  <c r="BJ53" i="5"/>
  <c r="AV53" i="5"/>
  <c r="BL53" i="5"/>
  <c r="AT53" i="5"/>
  <c r="AZ53" i="5"/>
  <c r="BC53" i="5"/>
  <c r="BE53" i="5"/>
  <c r="AO53" i="5"/>
  <c r="AM53" i="5"/>
  <c r="AP53" i="5"/>
  <c r="AU53" i="5"/>
  <c r="AX53" i="5"/>
  <c r="BB53" i="5"/>
  <c r="BO52" i="5"/>
  <c r="BJ52" i="5"/>
  <c r="BN52" i="5"/>
  <c r="BG52" i="5"/>
  <c r="BC52" i="5"/>
  <c r="AX52" i="5"/>
  <c r="AO52" i="5"/>
  <c r="AP52" i="5"/>
  <c r="AT52" i="5"/>
  <c r="AZ52" i="5"/>
  <c r="BL52" i="5"/>
  <c r="AY52" i="5"/>
  <c r="AQ52" i="5"/>
  <c r="AM52" i="5"/>
  <c r="BH52" i="5"/>
  <c r="BD52" i="5"/>
  <c r="BE52" i="5"/>
  <c r="BB52" i="5"/>
  <c r="AV52" i="5"/>
  <c r="AR52" i="5"/>
  <c r="AL52" i="5"/>
  <c r="BK52" i="5"/>
  <c r="AN52" i="5"/>
  <c r="AS52" i="5"/>
  <c r="AW52" i="5"/>
  <c r="BA52" i="5"/>
  <c r="BF52" i="5"/>
  <c r="BI52" i="5"/>
  <c r="BM52" i="5"/>
  <c r="AU52" i="5"/>
  <c r="AY51" i="5"/>
  <c r="BB51" i="5"/>
  <c r="BF51" i="5"/>
  <c r="BL51" i="5"/>
  <c r="AM51" i="5"/>
  <c r="AQ51" i="5"/>
  <c r="AT51" i="5"/>
  <c r="AW51" i="5"/>
  <c r="AZ51" i="5"/>
  <c r="BD51" i="5"/>
  <c r="BH51" i="5"/>
  <c r="BJ51" i="5"/>
  <c r="BO51" i="5"/>
  <c r="AN51" i="5"/>
  <c r="AR51" i="5"/>
  <c r="BC51" i="5"/>
  <c r="BG51" i="5"/>
  <c r="BK51" i="5"/>
  <c r="BN51" i="5"/>
  <c r="AX51" i="5"/>
  <c r="BM51" i="5"/>
  <c r="BE51" i="5"/>
  <c r="BA51" i="5"/>
  <c r="AU51" i="5"/>
  <c r="AP51" i="5"/>
  <c r="AL51" i="5"/>
  <c r="AO51" i="5"/>
  <c r="AS51" i="5"/>
  <c r="AV51" i="5"/>
  <c r="BI51" i="5"/>
  <c r="AU50" i="5"/>
  <c r="AW50" i="5"/>
  <c r="AO50" i="5"/>
  <c r="BO50" i="5"/>
  <c r="BK50" i="5"/>
  <c r="BE50" i="5"/>
  <c r="BA50" i="5"/>
  <c r="AZ50" i="5"/>
  <c r="AV50" i="5"/>
  <c r="BL50" i="5"/>
  <c r="BH50" i="5"/>
  <c r="AL50" i="5"/>
  <c r="AP50" i="5"/>
  <c r="AM50" i="5"/>
  <c r="AY50" i="5"/>
  <c r="BB50" i="5"/>
  <c r="BG50" i="5"/>
  <c r="BJ50" i="5"/>
  <c r="BN50" i="5"/>
  <c r="BD50" i="5"/>
  <c r="AR50" i="5"/>
  <c r="BM50" i="5"/>
  <c r="BI50" i="5"/>
  <c r="BF50" i="5"/>
  <c r="BC50" i="5"/>
  <c r="AX50" i="5"/>
  <c r="AS50" i="5"/>
  <c r="AN50" i="5"/>
  <c r="AQ50" i="5"/>
  <c r="AT50" i="5"/>
  <c r="BM49" i="5"/>
  <c r="BL49" i="5"/>
  <c r="BO49" i="5"/>
  <c r="BK49" i="5"/>
  <c r="BJ49" i="5"/>
  <c r="BN49" i="5"/>
  <c r="AX39" i="5"/>
  <c r="AL39" i="5"/>
  <c r="AP39" i="5"/>
  <c r="AS39" i="5"/>
  <c r="AU39" i="5"/>
  <c r="AY39" i="5"/>
  <c r="BB39" i="5"/>
  <c r="BE39" i="5"/>
  <c r="AN39" i="5"/>
  <c r="AQ39" i="5"/>
  <c r="BD39" i="5"/>
  <c r="AW39" i="5"/>
  <c r="AR39" i="5"/>
  <c r="BC39" i="5"/>
  <c r="BA39" i="5"/>
  <c r="AV39" i="5"/>
  <c r="AT39" i="5"/>
  <c r="AO39" i="5"/>
  <c r="AZ39" i="5"/>
  <c r="AM39" i="5"/>
  <c r="BA38" i="5"/>
  <c r="BD38" i="5"/>
  <c r="AV38" i="5"/>
  <c r="BF38" i="5"/>
  <c r="AT38" i="5"/>
  <c r="AP38" i="5"/>
  <c r="AN38" i="5"/>
  <c r="AL38" i="5"/>
  <c r="BO38" i="5"/>
  <c r="BL38" i="5"/>
  <c r="BG38" i="5"/>
  <c r="BJ38" i="5"/>
  <c r="BB38" i="5"/>
  <c r="BE38" i="5"/>
  <c r="BM38" i="5"/>
  <c r="BH38" i="5"/>
  <c r="BC38" i="5"/>
  <c r="AY38" i="5"/>
  <c r="AU38" i="5"/>
  <c r="AS38" i="5"/>
  <c r="AQ38" i="5"/>
  <c r="AO38" i="5"/>
  <c r="AM38" i="5"/>
  <c r="BK38" i="5"/>
  <c r="BN38" i="5"/>
  <c r="AR38" i="5"/>
  <c r="AW38" i="5"/>
  <c r="AX38" i="5"/>
  <c r="BI38" i="5"/>
  <c r="AZ38" i="5"/>
  <c r="BO37" i="5"/>
  <c r="BL37" i="5"/>
  <c r="BJ37" i="5"/>
  <c r="BH37" i="5"/>
  <c r="BI37" i="5"/>
  <c r="BE37" i="5"/>
  <c r="BD37" i="5"/>
  <c r="BC37" i="5"/>
  <c r="BB37" i="5"/>
  <c r="AY37" i="5"/>
  <c r="BK37" i="5"/>
  <c r="BM37" i="5"/>
  <c r="AZ37" i="5"/>
  <c r="AX37" i="5"/>
  <c r="BA37" i="5"/>
  <c r="BN37" i="5"/>
  <c r="BF37" i="5"/>
  <c r="BG37" i="5"/>
  <c r="BH74" i="5"/>
  <c r="AR74" i="5"/>
  <c r="AQ74" i="5"/>
  <c r="AP74" i="5"/>
  <c r="AM74" i="5"/>
  <c r="AN74" i="5"/>
  <c r="BO74" i="5"/>
  <c r="BL74" i="5"/>
  <c r="BN74" i="5"/>
  <c r="BM74" i="5"/>
  <c r="BK74" i="5"/>
  <c r="BJ74" i="5"/>
  <c r="BI74" i="5"/>
  <c r="BG74" i="5"/>
  <c r="BF74" i="5"/>
  <c r="AO74" i="5"/>
  <c r="BE74" i="5"/>
  <c r="BD74" i="5"/>
  <c r="BC74" i="5"/>
  <c r="BB74" i="5"/>
  <c r="BA74" i="5"/>
  <c r="AZ74" i="5"/>
  <c r="AY74" i="5"/>
  <c r="AL74" i="5"/>
  <c r="AX74" i="5"/>
  <c r="AW74" i="5"/>
  <c r="AU74" i="5"/>
  <c r="AT74" i="5"/>
  <c r="AS74" i="5"/>
  <c r="AV74" i="5"/>
  <c r="AQ73" i="5"/>
  <c r="AR73" i="5"/>
  <c r="AS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J73" i="5"/>
  <c r="BK73" i="5"/>
  <c r="BL73" i="5"/>
  <c r="BM73" i="5"/>
  <c r="BN73" i="5"/>
  <c r="AT73" i="5"/>
  <c r="AM73" i="5"/>
  <c r="BI73" i="5"/>
  <c r="BO73" i="5"/>
  <c r="AP73" i="5"/>
  <c r="AO73" i="5"/>
  <c r="AN73" i="5"/>
  <c r="AL73" i="5"/>
  <c r="AN72" i="5"/>
  <c r="AM72" i="5"/>
  <c r="AL72" i="5"/>
  <c r="BD72" i="5"/>
  <c r="BO72" i="5"/>
  <c r="BN72" i="5"/>
  <c r="BM72" i="5"/>
  <c r="BL72" i="5"/>
  <c r="BK72" i="5"/>
  <c r="BJ72" i="5"/>
  <c r="BI72" i="5"/>
  <c r="BH72" i="5"/>
  <c r="BG72" i="5"/>
  <c r="BF72" i="5"/>
  <c r="BE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O71" i="5"/>
  <c r="AL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D71" i="5"/>
  <c r="BB71" i="5"/>
  <c r="BC71" i="5"/>
  <c r="BE71" i="5"/>
  <c r="BF71" i="5"/>
  <c r="BG71" i="5"/>
  <c r="BH71" i="5"/>
  <c r="BI71" i="5"/>
  <c r="BJ71" i="5"/>
  <c r="BK71" i="5"/>
  <c r="BL71" i="5"/>
  <c r="BM71" i="5"/>
  <c r="BN71" i="5"/>
  <c r="BO71" i="5"/>
  <c r="AM71" i="5"/>
  <c r="AN71" i="5"/>
  <c r="AM70" i="5"/>
  <c r="AL70" i="5"/>
  <c r="AO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N70" i="5"/>
  <c r="BG69" i="5"/>
  <c r="BM69" i="5"/>
  <c r="BL69" i="5"/>
  <c r="BK69" i="5"/>
  <c r="BH69" i="5"/>
  <c r="BJ69" i="5"/>
  <c r="BI69" i="5"/>
  <c r="BO69" i="5"/>
  <c r="BN69" i="5"/>
  <c r="AW69" i="5"/>
  <c r="AX69" i="5"/>
  <c r="AY69" i="5"/>
  <c r="AZ69" i="5"/>
  <c r="BA69" i="5"/>
  <c r="BB69" i="5"/>
  <c r="BC69" i="5"/>
  <c r="BD69" i="5"/>
  <c r="BE69" i="5"/>
  <c r="BF69" i="5"/>
  <c r="AL63" i="5"/>
  <c r="AM63" i="5"/>
  <c r="AN63" i="5"/>
  <c r="AO63" i="5"/>
  <c r="AP63" i="5"/>
  <c r="AQ63" i="5"/>
  <c r="AR63" i="5"/>
  <c r="AS63" i="5"/>
  <c r="AT63" i="5"/>
  <c r="AU63" i="5"/>
  <c r="AV63" i="5"/>
  <c r="AS62" i="5"/>
  <c r="BA62" i="5"/>
  <c r="AZ62" i="5"/>
  <c r="AY62" i="5"/>
  <c r="AX62" i="5"/>
  <c r="AW62" i="5"/>
  <c r="AV62" i="5"/>
  <c r="AU62" i="5"/>
  <c r="AT62" i="5"/>
  <c r="AL62" i="5"/>
  <c r="AM62" i="5"/>
  <c r="AN62" i="5"/>
  <c r="AP62" i="5"/>
  <c r="AQ62" i="5"/>
  <c r="AR62" i="5"/>
  <c r="BE62" i="5"/>
  <c r="AO62" i="5"/>
  <c r="BO62" i="5"/>
  <c r="BN62" i="5"/>
  <c r="BM62" i="5"/>
  <c r="BL62" i="5"/>
  <c r="BK62" i="5"/>
  <c r="BJ62" i="5"/>
  <c r="BI62" i="5"/>
  <c r="BH62" i="5"/>
  <c r="BG62" i="5"/>
  <c r="BF62" i="5"/>
  <c r="BD62" i="5"/>
  <c r="BC62" i="5"/>
  <c r="BB62" i="5"/>
  <c r="AM61" i="5"/>
  <c r="AN61" i="5"/>
  <c r="AO61" i="5"/>
  <c r="AP61" i="5"/>
  <c r="AQ61" i="5"/>
  <c r="AR61" i="5"/>
  <c r="AS61" i="5"/>
  <c r="AT61" i="5"/>
  <c r="BN61" i="5"/>
  <c r="BM61" i="5"/>
  <c r="BL61" i="5"/>
  <c r="BK61" i="5"/>
  <c r="BJ61" i="5"/>
  <c r="BI61" i="5"/>
  <c r="BH61" i="5"/>
  <c r="AW61" i="5"/>
  <c r="BG61" i="5"/>
  <c r="BO61" i="5"/>
  <c r="AL61" i="5"/>
  <c r="BF61" i="5"/>
  <c r="BE61" i="5"/>
  <c r="BD61" i="5"/>
  <c r="BC61" i="5"/>
  <c r="BB61" i="5"/>
  <c r="BA61" i="5"/>
  <c r="AZ61" i="5"/>
  <c r="AY61" i="5"/>
  <c r="AX61" i="5"/>
  <c r="AV61" i="5"/>
  <c r="AU61" i="5"/>
  <c r="AL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59" i="5"/>
  <c r="AM59" i="5"/>
  <c r="AN59" i="5"/>
  <c r="AO59" i="5"/>
  <c r="AP59" i="5"/>
  <c r="AQ59" i="5"/>
  <c r="AR59" i="5"/>
  <c r="AS59" i="5"/>
  <c r="BA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AZ59" i="5"/>
  <c r="AY59" i="5"/>
  <c r="AX59" i="5"/>
  <c r="AW59" i="5"/>
  <c r="AV59" i="5"/>
  <c r="AU59" i="5"/>
  <c r="AT59" i="5"/>
  <c r="AL58" i="5"/>
  <c r="AO58" i="5"/>
  <c r="AP58" i="5"/>
  <c r="AQ58" i="5"/>
  <c r="AM58" i="5"/>
  <c r="AN58" i="5"/>
  <c r="AR58" i="5"/>
  <c r="AS58" i="5"/>
  <c r="AT58" i="5"/>
  <c r="AU58" i="5"/>
  <c r="AV58" i="5"/>
  <c r="AW58" i="5"/>
  <c r="AX58" i="5"/>
  <c r="AY58" i="5"/>
  <c r="AZ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A58" i="5"/>
  <c r="AS57" i="5"/>
  <c r="AR57" i="5"/>
  <c r="AQ57" i="5"/>
  <c r="AP57" i="5"/>
  <c r="AO57" i="5"/>
  <c r="AN57" i="5"/>
  <c r="AM57" i="5"/>
  <c r="AL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BF56" i="5"/>
  <c r="BJ56" i="5"/>
  <c r="AQ56" i="5"/>
  <c r="BK56" i="5"/>
  <c r="BL56" i="5"/>
  <c r="BB56" i="5"/>
  <c r="BM56" i="5"/>
  <c r="BN56" i="5"/>
  <c r="BO56" i="5"/>
  <c r="AN56" i="5"/>
  <c r="BC56" i="5"/>
  <c r="BD56" i="5"/>
  <c r="BE56" i="5"/>
  <c r="BH56" i="5"/>
  <c r="BG56" i="5"/>
  <c r="BI56" i="5"/>
  <c r="BA56" i="5"/>
  <c r="AZ56" i="5"/>
  <c r="AY56" i="5"/>
  <c r="AX56" i="5"/>
  <c r="AW56" i="5"/>
  <c r="AV56" i="5"/>
  <c r="AU56" i="5"/>
  <c r="AT56" i="5"/>
  <c r="AS56" i="5"/>
  <c r="AR56" i="5"/>
  <c r="AP56" i="5"/>
  <c r="AO56" i="5"/>
  <c r="AM56" i="5"/>
  <c r="AL56" i="5"/>
  <c r="AS55" i="5"/>
  <c r="AR55" i="5"/>
  <c r="AQ55" i="5"/>
  <c r="AP55" i="5"/>
  <c r="AN55" i="5"/>
  <c r="AM55" i="5"/>
  <c r="AL55" i="5"/>
  <c r="AZ55" i="5"/>
  <c r="AO55" i="5"/>
  <c r="BH55" i="5"/>
  <c r="BG55" i="5"/>
  <c r="BF55" i="5"/>
  <c r="BE55" i="5"/>
  <c r="BD55" i="5"/>
  <c r="BC55" i="5"/>
  <c r="BB55" i="5"/>
  <c r="BA55" i="5"/>
  <c r="AY55" i="5"/>
  <c r="AX55" i="5"/>
  <c r="AW55" i="5"/>
  <c r="AV55" i="5"/>
  <c r="AU55" i="5"/>
  <c r="AT55" i="5"/>
  <c r="BO55" i="5"/>
  <c r="BN55" i="5"/>
  <c r="BM55" i="5"/>
  <c r="BL55" i="5"/>
  <c r="BK55" i="5"/>
  <c r="BJ55" i="5"/>
  <c r="BI55" i="5"/>
  <c r="BD54" i="5"/>
  <c r="BM54" i="5"/>
  <c r="BB54" i="5"/>
  <c r="BN54" i="5"/>
  <c r="BO54" i="5"/>
  <c r="BK54" i="5"/>
  <c r="BA54" i="5"/>
  <c r="BE54" i="5"/>
  <c r="BF54" i="5"/>
  <c r="BG54" i="5"/>
  <c r="BH54" i="5"/>
  <c r="BI54" i="5"/>
  <c r="BJ54" i="5"/>
  <c r="BL54" i="5"/>
  <c r="BC54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BI49" i="5"/>
  <c r="BH49" i="5"/>
  <c r="BG49" i="5"/>
  <c r="BF49" i="5"/>
  <c r="BE49" i="5"/>
  <c r="BD49" i="5"/>
  <c r="BC49" i="5"/>
  <c r="BB49" i="5"/>
  <c r="BA49" i="5"/>
  <c r="AZ49" i="5"/>
  <c r="AM48" i="5"/>
  <c r="AN48" i="5"/>
  <c r="AO48" i="5"/>
  <c r="BH48" i="5"/>
  <c r="AT48" i="5"/>
  <c r="BF48" i="5"/>
  <c r="BG48" i="5"/>
  <c r="BO48" i="5"/>
  <c r="BN48" i="5"/>
  <c r="BM48" i="5"/>
  <c r="BL48" i="5"/>
  <c r="AW48" i="5"/>
  <c r="BK48" i="5"/>
  <c r="BJ48" i="5"/>
  <c r="BI48" i="5"/>
  <c r="AL48" i="5"/>
  <c r="BE48" i="5"/>
  <c r="BD48" i="5"/>
  <c r="BC48" i="5"/>
  <c r="BB48" i="5"/>
  <c r="BA48" i="5"/>
  <c r="AZ48" i="5"/>
  <c r="AY48" i="5"/>
  <c r="AX48" i="5"/>
  <c r="AV48" i="5"/>
  <c r="AU48" i="5"/>
  <c r="AP48" i="5"/>
  <c r="AQ48" i="5"/>
  <c r="AR48" i="5"/>
  <c r="AS48" i="5"/>
  <c r="AZ47" i="5"/>
  <c r="BA47" i="5"/>
  <c r="BB47" i="5"/>
  <c r="BO47" i="5"/>
  <c r="BD47" i="5"/>
  <c r="BE47" i="5"/>
  <c r="BF47" i="5"/>
  <c r="BG47" i="5"/>
  <c r="BH47" i="5"/>
  <c r="BI47" i="5"/>
  <c r="BJ47" i="5"/>
  <c r="BK47" i="5"/>
  <c r="BL47" i="5"/>
  <c r="BM47" i="5"/>
  <c r="BN47" i="5"/>
  <c r="AV47" i="5"/>
  <c r="BC47" i="5"/>
  <c r="AL47" i="5"/>
  <c r="AM47" i="5"/>
  <c r="AN47" i="5"/>
  <c r="AO47" i="5"/>
  <c r="AP47" i="5"/>
  <c r="AQ47" i="5"/>
  <c r="AR47" i="5"/>
  <c r="AS47" i="5"/>
  <c r="AT47" i="5"/>
  <c r="AU47" i="5"/>
  <c r="AW47" i="5"/>
  <c r="AX47" i="5"/>
  <c r="AY47" i="5"/>
  <c r="BN46" i="5"/>
  <c r="BO46" i="5"/>
  <c r="BM46" i="5"/>
  <c r="AU46" i="5"/>
  <c r="AT46" i="5"/>
  <c r="AR46" i="5"/>
  <c r="AQ46" i="5"/>
  <c r="AP46" i="5"/>
  <c r="AO46" i="5"/>
  <c r="AN46" i="5"/>
  <c r="AM46" i="5"/>
  <c r="AL46" i="5"/>
  <c r="AS46" i="5"/>
  <c r="BL46" i="5"/>
  <c r="BK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AZ45" i="5"/>
  <c r="BA45" i="5"/>
  <c r="BB45" i="5"/>
  <c r="BC45" i="5"/>
  <c r="BD45" i="5"/>
  <c r="BF45" i="5"/>
  <c r="BG45" i="5"/>
  <c r="BH45" i="5"/>
  <c r="BI45" i="5"/>
  <c r="BJ45" i="5"/>
  <c r="BK45" i="5"/>
  <c r="BL45" i="5"/>
  <c r="BM45" i="5"/>
  <c r="BN45" i="5"/>
  <c r="BO45" i="5"/>
  <c r="BE45" i="5"/>
  <c r="AU45" i="5"/>
  <c r="AL45" i="5"/>
  <c r="AM45" i="5"/>
  <c r="AN45" i="5"/>
  <c r="AO45" i="5"/>
  <c r="AP45" i="5"/>
  <c r="AQ45" i="5"/>
  <c r="AR45" i="5"/>
  <c r="AS45" i="5"/>
  <c r="AT45" i="5"/>
  <c r="AV45" i="5"/>
  <c r="AW45" i="5"/>
  <c r="AX45" i="5"/>
  <c r="AY45" i="5"/>
  <c r="AP44" i="5"/>
  <c r="AO44" i="5"/>
  <c r="AN44" i="5"/>
  <c r="AM44" i="5"/>
  <c r="BB44" i="5"/>
  <c r="BC44" i="5"/>
  <c r="BD44" i="5"/>
  <c r="BE44" i="5"/>
  <c r="BF44" i="5"/>
  <c r="BG44" i="5"/>
  <c r="BH44" i="5"/>
  <c r="AX44" i="5"/>
  <c r="BI44" i="5"/>
  <c r="BJ44" i="5"/>
  <c r="AY44" i="5"/>
  <c r="AW44" i="5"/>
  <c r="AZ44" i="5"/>
  <c r="BK44" i="5"/>
  <c r="BL44" i="5"/>
  <c r="BM44" i="5"/>
  <c r="BN44" i="5"/>
  <c r="BO44" i="5"/>
  <c r="BA44" i="5"/>
  <c r="AV44" i="5"/>
  <c r="AU44" i="5"/>
  <c r="AT44" i="5"/>
  <c r="AS44" i="5"/>
  <c r="AR44" i="5"/>
  <c r="AQ44" i="5"/>
  <c r="AL44" i="5"/>
  <c r="BH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I43" i="5"/>
  <c r="BJ43" i="5"/>
  <c r="BK43" i="5"/>
  <c r="BL43" i="5"/>
  <c r="BM43" i="5"/>
  <c r="BN43" i="5"/>
  <c r="BO43" i="5"/>
  <c r="AW42" i="5"/>
  <c r="AU42" i="5"/>
  <c r="AT42" i="5"/>
  <c r="AS42" i="5"/>
  <c r="AR42" i="5"/>
  <c r="BL42" i="5"/>
  <c r="AQ42" i="5"/>
  <c r="AO42" i="5"/>
  <c r="AN42" i="5"/>
  <c r="AM42" i="5"/>
  <c r="AP42" i="5"/>
  <c r="AL42" i="5"/>
  <c r="AV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BM42" i="5"/>
  <c r="BN42" i="5"/>
  <c r="BO42" i="5"/>
  <c r="AT41" i="5"/>
  <c r="AU41" i="5"/>
  <c r="AV41" i="5"/>
  <c r="AW41" i="5"/>
  <c r="AX41" i="5"/>
  <c r="AY41" i="5"/>
  <c r="AZ41" i="5"/>
  <c r="BA41" i="5"/>
  <c r="BB41" i="5"/>
  <c r="BD41" i="5"/>
  <c r="BE41" i="5"/>
  <c r="BF41" i="5"/>
  <c r="BG41" i="5"/>
  <c r="BH41" i="5"/>
  <c r="BI41" i="5"/>
  <c r="BJ41" i="5"/>
  <c r="BK41" i="5"/>
  <c r="BL41" i="5"/>
  <c r="BM41" i="5"/>
  <c r="BN41" i="5"/>
  <c r="BC41" i="5"/>
  <c r="BO41" i="5"/>
  <c r="AQ41" i="5"/>
  <c r="AR41" i="5"/>
  <c r="AS41" i="5"/>
  <c r="AL41" i="5"/>
  <c r="AM41" i="5"/>
  <c r="AN41" i="5"/>
  <c r="AO41" i="5"/>
  <c r="AP41" i="5"/>
  <c r="BH40" i="5"/>
  <c r="AZ40" i="5"/>
  <c r="BA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BD40" i="5"/>
  <c r="BE40" i="5"/>
  <c r="BF40" i="5"/>
  <c r="BG40" i="5"/>
  <c r="BB40" i="5"/>
  <c r="BI40" i="5"/>
  <c r="BJ40" i="5"/>
  <c r="BK40" i="5"/>
  <c r="BL40" i="5"/>
  <c r="BM40" i="5"/>
  <c r="BN40" i="5"/>
  <c r="BO40" i="5"/>
  <c r="BC40" i="5"/>
  <c r="BN39" i="5"/>
  <c r="BI39" i="5"/>
  <c r="BO39" i="5"/>
  <c r="BF39" i="5"/>
  <c r="BJ39" i="5"/>
  <c r="BG39" i="5"/>
  <c r="BK39" i="5"/>
  <c r="BL39" i="5"/>
  <c r="BM39" i="5"/>
  <c r="BH39" i="5"/>
  <c r="AV37" i="5"/>
  <c r="AM37" i="5"/>
  <c r="AP37" i="5"/>
  <c r="AR37" i="5"/>
  <c r="AU37" i="5"/>
  <c r="AW37" i="5"/>
  <c r="AN37" i="5"/>
  <c r="AQ37" i="5"/>
  <c r="AT37" i="5"/>
  <c r="AL37" i="5"/>
  <c r="AO37" i="5"/>
  <c r="AS37" i="5"/>
  <c r="BG36" i="5"/>
  <c r="AY36" i="5"/>
  <c r="AX36" i="5"/>
  <c r="AW36" i="5"/>
  <c r="AV36" i="5"/>
  <c r="AU36" i="5"/>
  <c r="AT36" i="5"/>
  <c r="AL36" i="5"/>
  <c r="AS36" i="5"/>
  <c r="BM36" i="5"/>
  <c r="AP36" i="5"/>
  <c r="AO36" i="5"/>
  <c r="AN36" i="5"/>
  <c r="AM36" i="5"/>
  <c r="AQ36" i="5"/>
  <c r="BN36" i="5"/>
  <c r="BO36" i="5"/>
  <c r="BL36" i="5"/>
  <c r="BK36" i="5"/>
  <c r="BJ36" i="5"/>
  <c r="BI36" i="5"/>
  <c r="BH36" i="5"/>
  <c r="AR36" i="5"/>
  <c r="BF36" i="5"/>
  <c r="BE36" i="5"/>
  <c r="BD36" i="5"/>
  <c r="BC36" i="5"/>
  <c r="BB36" i="5"/>
  <c r="BA36" i="5"/>
  <c r="AZ36" i="5"/>
  <c r="AQ35" i="5"/>
  <c r="AP35" i="5"/>
  <c r="AO35" i="5"/>
  <c r="AN35" i="5"/>
  <c r="BA35" i="5"/>
  <c r="AM35" i="5"/>
  <c r="AL35" i="5"/>
  <c r="AS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AZ35" i="5"/>
  <c r="AY35" i="5"/>
  <c r="AX35" i="5"/>
  <c r="AW35" i="5"/>
  <c r="AV35" i="5"/>
  <c r="AU35" i="5"/>
  <c r="AT35" i="5"/>
  <c r="AR35" i="5"/>
  <c r="AS34" i="5"/>
  <c r="AR34" i="5"/>
  <c r="AQ34" i="5"/>
  <c r="AP34" i="5"/>
  <c r="AN34" i="5"/>
  <c r="AM34" i="5"/>
  <c r="AL34" i="5"/>
  <c r="AO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3" i="5"/>
  <c r="AR33" i="5"/>
  <c r="AQ33" i="5"/>
  <c r="AP33" i="5"/>
  <c r="AO33" i="5"/>
  <c r="AN33" i="5"/>
  <c r="AM33" i="5"/>
  <c r="AL33" i="5"/>
  <c r="BL33" i="5"/>
  <c r="BO33" i="5"/>
  <c r="BN33" i="5"/>
  <c r="BM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BH32" i="5"/>
  <c r="AL32" i="5"/>
  <c r="AR32" i="5"/>
  <c r="AQ32" i="5"/>
  <c r="AP32" i="5"/>
  <c r="AO32" i="5"/>
  <c r="AN32" i="5"/>
  <c r="AM32" i="5"/>
  <c r="BO32" i="5"/>
  <c r="BN32" i="5"/>
  <c r="BM32" i="5"/>
  <c r="BL32" i="5"/>
  <c r="BK32" i="5"/>
  <c r="BJ32" i="5"/>
  <c r="BI32" i="5"/>
  <c r="AS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1" i="5"/>
  <c r="AR31" i="5"/>
  <c r="AQ31" i="5"/>
  <c r="AP31" i="5"/>
  <c r="AO31" i="5"/>
  <c r="AN31" i="5"/>
  <c r="AM31" i="5"/>
  <c r="AL31" i="5"/>
  <c r="AT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BO31" i="5"/>
  <c r="BI30" i="5"/>
  <c r="AZ30" i="5"/>
  <c r="AY30" i="5"/>
  <c r="AX30" i="5"/>
  <c r="AW30" i="5"/>
  <c r="AV30" i="5"/>
  <c r="AU30" i="5"/>
  <c r="AT30" i="5"/>
  <c r="AS30" i="5"/>
  <c r="BN30" i="5"/>
  <c r="BM30" i="5"/>
  <c r="BL30" i="5"/>
  <c r="BK30" i="5"/>
  <c r="BJ30" i="5"/>
  <c r="BO30" i="5"/>
  <c r="BH30" i="5"/>
  <c r="BG30" i="5"/>
  <c r="BF30" i="5"/>
  <c r="BE30" i="5"/>
  <c r="BD30" i="5"/>
  <c r="BC30" i="5"/>
  <c r="BB30" i="5"/>
  <c r="BA30" i="5"/>
  <c r="AP30" i="5"/>
  <c r="AR30" i="5"/>
  <c r="AQ30" i="5"/>
  <c r="AO30" i="5"/>
  <c r="AN30" i="5"/>
  <c r="AM30" i="5"/>
  <c r="AL30" i="5"/>
  <c r="AX29" i="5"/>
  <c r="AU29" i="5"/>
  <c r="AT29" i="5"/>
  <c r="AS29" i="5"/>
  <c r="AR29" i="5"/>
  <c r="AQ29" i="5"/>
  <c r="AP29" i="5"/>
  <c r="AO29" i="5"/>
  <c r="AN29" i="5"/>
  <c r="AM29" i="5"/>
  <c r="AL29" i="5"/>
  <c r="AY29" i="5"/>
  <c r="AZ29" i="5"/>
  <c r="BA29" i="5"/>
  <c r="BB29" i="5"/>
  <c r="BC29" i="5"/>
  <c r="BD29" i="5"/>
  <c r="AW29" i="5"/>
  <c r="BO29" i="5"/>
  <c r="BN29" i="5"/>
  <c r="BM29" i="5"/>
  <c r="BL29" i="5"/>
  <c r="AV29" i="5"/>
  <c r="BJ29" i="5"/>
  <c r="BI29" i="5"/>
  <c r="BH29" i="5"/>
  <c r="BG29" i="5"/>
  <c r="BF29" i="5"/>
  <c r="BE29" i="5"/>
  <c r="BK29" i="5"/>
  <c r="AV28" i="5"/>
  <c r="AU28" i="5"/>
  <c r="AT28" i="5"/>
  <c r="AS28" i="5"/>
  <c r="AR28" i="5"/>
  <c r="AQ28" i="5"/>
  <c r="AP28" i="5"/>
  <c r="AO28" i="5"/>
  <c r="AN28" i="5"/>
  <c r="AM28" i="5"/>
  <c r="AL28" i="5"/>
  <c r="BA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AZ28" i="5"/>
  <c r="AY28" i="5"/>
  <c r="AX28" i="5"/>
  <c r="AW28" i="5"/>
  <c r="BE27" i="5"/>
  <c r="AS27" i="5"/>
  <c r="AR27" i="5"/>
  <c r="AQ27" i="5"/>
  <c r="AP27" i="5"/>
  <c r="AO27" i="5"/>
  <c r="AN27" i="5"/>
  <c r="BI27" i="5"/>
  <c r="BO27" i="5"/>
  <c r="BN27" i="5"/>
  <c r="BM27" i="5"/>
  <c r="BL27" i="5"/>
  <c r="BK27" i="5"/>
  <c r="BJ27" i="5"/>
  <c r="AL27" i="5"/>
  <c r="BH27" i="5"/>
  <c r="BG27" i="5"/>
  <c r="BF27" i="5"/>
  <c r="AM27" i="5"/>
  <c r="BD27" i="5"/>
  <c r="BC27" i="5"/>
  <c r="BB27" i="5"/>
  <c r="BA27" i="5"/>
  <c r="AZ27" i="5"/>
  <c r="AY27" i="5"/>
  <c r="AX27" i="5"/>
  <c r="AW27" i="5"/>
  <c r="AV27" i="5"/>
  <c r="AU27" i="5"/>
  <c r="AT27" i="5"/>
  <c r="AS26" i="5"/>
  <c r="AR26" i="5"/>
  <c r="AQ26" i="5"/>
  <c r="AP26" i="5"/>
  <c r="AO26" i="5"/>
  <c r="AN26" i="5"/>
  <c r="AM26" i="5"/>
  <c r="AL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R25" i="5"/>
  <c r="AQ25" i="5"/>
  <c r="AP25" i="5"/>
  <c r="AO25" i="5"/>
  <c r="AN25" i="5"/>
  <c r="AM25" i="5"/>
  <c r="AL25" i="5"/>
  <c r="AZ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Y25" i="5"/>
  <c r="AX25" i="5"/>
  <c r="AW25" i="5"/>
  <c r="AV25" i="5"/>
  <c r="AU25" i="5"/>
  <c r="AT25" i="5"/>
  <c r="AS25" i="5"/>
  <c r="BI24" i="5"/>
  <c r="AV24" i="5"/>
  <c r="AT24" i="5"/>
  <c r="AR24" i="5"/>
  <c r="AQ24" i="5"/>
  <c r="AO24" i="5"/>
  <c r="AL24" i="5"/>
  <c r="BJ24" i="5"/>
  <c r="BN24" i="5"/>
  <c r="BM24" i="5"/>
  <c r="BL24" i="5"/>
  <c r="BK24" i="5"/>
  <c r="AP24" i="5"/>
  <c r="AS24" i="5"/>
  <c r="AM24" i="5"/>
  <c r="BG24" i="5"/>
  <c r="BE24" i="5"/>
  <c r="BC24" i="5"/>
  <c r="BA24" i="5"/>
  <c r="AY24" i="5"/>
  <c r="BO24" i="5"/>
  <c r="AU24" i="5"/>
  <c r="AW24" i="5"/>
  <c r="AX24" i="5"/>
  <c r="AZ24" i="5"/>
  <c r="BB24" i="5"/>
  <c r="BD24" i="5"/>
  <c r="BF24" i="5"/>
  <c r="BH24" i="5"/>
  <c r="AN24" i="5"/>
  <c r="BB23" i="5"/>
  <c r="BG23" i="5"/>
  <c r="BE23" i="5"/>
  <c r="BC23" i="5"/>
  <c r="BA23" i="5"/>
  <c r="AZ23" i="5"/>
  <c r="AY23" i="5"/>
  <c r="AW23" i="5"/>
  <c r="AU23" i="5"/>
  <c r="AR23" i="5"/>
  <c r="AP23" i="5"/>
  <c r="BD23" i="5"/>
  <c r="AL23" i="5"/>
  <c r="BF23" i="5"/>
  <c r="BH23" i="5"/>
  <c r="BK23" i="5"/>
  <c r="BN23" i="5"/>
  <c r="AX23" i="5"/>
  <c r="BO23" i="5"/>
  <c r="BM23" i="5"/>
  <c r="BL23" i="5"/>
  <c r="BJ23" i="5"/>
  <c r="BI23" i="5"/>
  <c r="AM23" i="5"/>
  <c r="AO23" i="5"/>
  <c r="AQ23" i="5"/>
  <c r="AS23" i="5"/>
  <c r="AT23" i="5"/>
  <c r="AV23" i="5"/>
  <c r="AN23" i="5"/>
  <c r="AQ22" i="5"/>
  <c r="AS22" i="5"/>
  <c r="AU22" i="5"/>
  <c r="AW22" i="5"/>
  <c r="AY22" i="5"/>
  <c r="BA22" i="5"/>
  <c r="BC22" i="5"/>
  <c r="BE22" i="5"/>
  <c r="BG22" i="5"/>
  <c r="BI22" i="5"/>
  <c r="BK22" i="5"/>
  <c r="BM22" i="5"/>
  <c r="BO22" i="5"/>
  <c r="BN22" i="5"/>
  <c r="BL22" i="5"/>
  <c r="BJ22" i="5"/>
  <c r="BH22" i="5"/>
  <c r="BF22" i="5"/>
  <c r="BD22" i="5"/>
  <c r="BB22" i="5"/>
  <c r="AZ22" i="5"/>
  <c r="AX22" i="5"/>
  <c r="AV22" i="5"/>
  <c r="AT22" i="5"/>
  <c r="AR22" i="5"/>
  <c r="AP22" i="5"/>
  <c r="AN22" i="5"/>
  <c r="AL22" i="5"/>
  <c r="AM22" i="5"/>
  <c r="AO22" i="5"/>
  <c r="BL21" i="5"/>
  <c r="BJ21" i="5"/>
  <c r="AV21" i="5"/>
  <c r="AL21" i="5"/>
  <c r="AO21" i="5"/>
  <c r="AQ21" i="5"/>
  <c r="AS21" i="5"/>
  <c r="BO21" i="5"/>
  <c r="BN21" i="5"/>
  <c r="AT21" i="5"/>
  <c r="AX21" i="5"/>
  <c r="AZ21" i="5"/>
  <c r="BB21" i="5"/>
  <c r="BD21" i="5"/>
  <c r="BF21" i="5"/>
  <c r="AM21" i="5"/>
  <c r="AN21" i="5"/>
  <c r="AP21" i="5"/>
  <c r="AR21" i="5"/>
  <c r="AU21" i="5"/>
  <c r="AW21" i="5"/>
  <c r="AY21" i="5"/>
  <c r="BH21" i="5"/>
  <c r="BA21" i="5"/>
  <c r="BC21" i="5"/>
  <c r="BE21" i="5"/>
  <c r="BG21" i="5"/>
  <c r="BI21" i="5"/>
  <c r="BK21" i="5"/>
  <c r="BM21" i="5"/>
  <c r="AN20" i="5"/>
  <c r="AP20" i="5"/>
  <c r="AS20" i="5"/>
  <c r="AT20" i="5"/>
  <c r="AW20" i="5"/>
  <c r="AX20" i="5"/>
  <c r="BD20" i="5"/>
  <c r="BM20" i="5"/>
  <c r="BO20" i="5"/>
  <c r="BN20" i="5"/>
  <c r="BL20" i="5"/>
  <c r="BN19" i="5"/>
  <c r="BL19" i="5"/>
  <c r="BO19" i="5"/>
  <c r="BM19" i="5"/>
  <c r="BO18" i="5"/>
  <c r="BL18" i="5"/>
  <c r="BM18" i="5"/>
  <c r="BN18" i="5"/>
  <c r="BN17" i="5"/>
  <c r="BL17" i="5"/>
  <c r="BO17" i="5"/>
  <c r="BM17" i="5"/>
  <c r="BL16" i="5"/>
  <c r="BO16" i="5"/>
  <c r="BN16" i="5"/>
  <c r="BM16" i="5"/>
  <c r="BM15" i="5"/>
  <c r="BO15" i="5"/>
  <c r="BN15" i="5"/>
  <c r="BL15" i="5"/>
  <c r="BL14" i="5"/>
  <c r="BN14" i="5"/>
  <c r="BO14" i="5"/>
  <c r="BM14" i="5"/>
  <c r="BO13" i="5"/>
  <c r="BN13" i="5"/>
  <c r="BM13" i="5"/>
  <c r="BL13" i="5"/>
  <c r="BO12" i="5"/>
  <c r="BN12" i="5"/>
  <c r="BM12" i="5"/>
  <c r="BL12" i="5"/>
  <c r="BO11" i="5"/>
  <c r="BL11" i="5"/>
  <c r="BM11" i="5"/>
  <c r="BN11" i="5"/>
  <c r="BO10" i="5"/>
  <c r="BN10" i="5"/>
  <c r="BM10" i="5"/>
  <c r="BL10" i="5"/>
  <c r="BM9" i="5"/>
  <c r="BO9" i="5"/>
  <c r="BL9" i="5"/>
  <c r="BN9" i="5"/>
  <c r="BP9" i="5"/>
  <c r="BV9" i="5"/>
  <c r="C84" i="4" a="1"/>
  <c r="C84" i="4" s="1"/>
  <c r="K84" i="4" a="1"/>
  <c r="K84" i="4" s="1"/>
  <c r="J84" i="4" a="1"/>
  <c r="J84" i="4" s="1"/>
  <c r="V84" i="4" a="1"/>
  <c r="V84" i="4" s="1"/>
  <c r="U84" i="4" a="1"/>
  <c r="U84" i="4" s="1"/>
  <c r="T84" i="4" a="1"/>
  <c r="T84" i="4" s="1"/>
  <c r="S84" i="4" a="1"/>
  <c r="S84" i="4" s="1"/>
  <c r="R84" i="4" a="1"/>
  <c r="R84" i="4" s="1"/>
  <c r="Q84" i="4" a="1"/>
  <c r="Q84" i="4" s="1"/>
  <c r="P84" i="4" a="1"/>
  <c r="P84" i="4" s="1"/>
  <c r="O84" i="4" a="1"/>
  <c r="O84" i="4" s="1"/>
  <c r="N84" i="4" a="1"/>
  <c r="N84" i="4" s="1"/>
  <c r="M84" i="4" a="1"/>
  <c r="M84" i="4" s="1"/>
  <c r="L84" i="4" a="1"/>
  <c r="L84" i="4" s="1"/>
  <c r="Z84" i="4" a="1"/>
  <c r="Z84" i="4" s="1"/>
  <c r="W84" i="4" a="1"/>
  <c r="W84" i="4" s="1"/>
  <c r="AG84" i="4" a="1"/>
  <c r="AG84" i="4" s="1"/>
  <c r="AC84" i="4" a="1"/>
  <c r="AC84" i="4" s="1"/>
  <c r="AE84" i="4" a="1"/>
  <c r="AE84" i="4" s="1"/>
  <c r="Y84" i="4" a="1"/>
  <c r="Y84" i="4" s="1"/>
  <c r="AH84" i="4" a="1"/>
  <c r="AH84" i="4" s="1"/>
  <c r="X84" i="4" a="1"/>
  <c r="X84" i="4" s="1"/>
  <c r="AB84" i="4" a="1"/>
  <c r="AB84" i="4" s="1"/>
  <c r="AD84" i="4" a="1"/>
  <c r="AD84" i="4" s="1"/>
  <c r="AA84" i="4" a="1"/>
  <c r="AA84" i="4" s="1"/>
  <c r="B84" i="4" a="1"/>
  <c r="B84" i="4" s="1"/>
  <c r="A84" i="4" a="1"/>
  <c r="A84" i="4" s="1"/>
  <c r="H84" i="4" a="1"/>
  <c r="H84" i="4" s="1"/>
  <c r="I84" i="4" a="1"/>
  <c r="I84" i="4" s="1"/>
  <c r="G84" i="4" a="1"/>
  <c r="G84" i="4" s="1"/>
  <c r="AK83" i="4" a="1"/>
  <c r="AK83" i="4" s="1"/>
  <c r="AJ83" i="4" a="1"/>
  <c r="AJ83" i="4" s="1"/>
  <c r="F84" i="4" a="1"/>
  <c r="F84" i="4" s="1"/>
  <c r="E84" i="4" a="1"/>
  <c r="E84" i="4" s="1"/>
  <c r="D84" i="4" a="1"/>
  <c r="D84" i="4" s="1"/>
  <c r="L28" i="4" a="1"/>
  <c r="L28" i="4" s="1"/>
  <c r="S28" i="4" a="1"/>
  <c r="S28" i="4" s="1"/>
  <c r="R28" i="4" a="1"/>
  <c r="R28" i="4" s="1"/>
  <c r="AI83" i="4" a="1"/>
  <c r="AI83" i="4" s="1"/>
  <c r="AH83" i="4" a="1"/>
  <c r="AH83" i="4" s="1"/>
  <c r="AG83" i="4" a="1"/>
  <c r="AG83" i="4" s="1"/>
  <c r="R48" i="4" a="1"/>
  <c r="R48" i="4" s="1"/>
  <c r="Q48" i="4" a="1"/>
  <c r="Q48" i="4" s="1"/>
  <c r="P48" i="4" a="1"/>
  <c r="P48" i="4" s="1"/>
  <c r="W28" i="4" a="1"/>
  <c r="W28" i="4" s="1"/>
  <c r="V28" i="4" a="1"/>
  <c r="V28" i="4" s="1"/>
  <c r="U28" i="4" a="1"/>
  <c r="U28" i="4" s="1"/>
  <c r="T28" i="4" a="1"/>
  <c r="T28" i="4" s="1"/>
  <c r="AJ58" i="4" a="1"/>
  <c r="AJ58" i="4" s="1"/>
  <c r="AF83" i="4" a="1"/>
  <c r="AF83" i="4" s="1"/>
  <c r="AI58" i="4" a="1"/>
  <c r="AI58" i="4" s="1"/>
  <c r="AH58" i="4" a="1"/>
  <c r="AH58" i="4" s="1"/>
  <c r="AG58" i="4" a="1"/>
  <c r="AG58" i="4" s="1"/>
  <c r="AF58" i="4" a="1"/>
  <c r="AF58" i="4" s="1"/>
  <c r="AE58" i="4" a="1"/>
  <c r="AE58" i="4" s="1"/>
  <c r="AD58" i="4" a="1"/>
  <c r="AD58" i="4" s="1"/>
  <c r="AC58" i="4" a="1"/>
  <c r="AC58" i="4" s="1"/>
  <c r="AB58" i="4" a="1"/>
  <c r="AB58" i="4" s="1"/>
  <c r="AA58" i="4" a="1"/>
  <c r="AA58" i="4" s="1"/>
  <c r="Z58" i="4" a="1"/>
  <c r="Z58" i="4" s="1"/>
  <c r="U48" i="4" a="1"/>
  <c r="U48" i="4" s="1"/>
  <c r="T48" i="4" a="1"/>
  <c r="T48" i="4" s="1"/>
  <c r="S48" i="4" a="1"/>
  <c r="S48" i="4" s="1"/>
  <c r="T8" i="5"/>
  <c r="Q5" i="4" s="1"/>
  <c r="Q10" i="4" s="1"/>
  <c r="S8" i="5"/>
  <c r="P5" i="4" s="1"/>
  <c r="P10" i="4" s="1"/>
  <c r="R8" i="5"/>
  <c r="O5" i="4" s="1"/>
  <c r="O10" i="4" s="1"/>
  <c r="T59" i="4" a="1"/>
  <c r="T59" i="4" s="1"/>
  <c r="S59" i="4" a="1"/>
  <c r="S59" i="4" s="1"/>
  <c r="R59" i="4" a="1"/>
  <c r="R59" i="4" s="1"/>
  <c r="L59" i="4" a="1"/>
  <c r="L59" i="4" s="1"/>
  <c r="K59" i="4" a="1"/>
  <c r="K59" i="4" s="1"/>
  <c r="J59" i="4" a="1"/>
  <c r="J59" i="4" s="1"/>
  <c r="I59" i="4" a="1"/>
  <c r="I59" i="4" s="1"/>
  <c r="H59" i="4" a="1"/>
  <c r="H59" i="4" s="1"/>
  <c r="G59" i="4" a="1"/>
  <c r="G59" i="4" s="1"/>
  <c r="AK58" i="4" a="1"/>
  <c r="AK58" i="4" s="1"/>
  <c r="AD83" i="4" a="1"/>
  <c r="AD83" i="4" s="1"/>
  <c r="AE83" i="4" a="1"/>
  <c r="AE83" i="4" s="1"/>
  <c r="E60" i="4" a="1"/>
  <c r="E60" i="4" s="1"/>
  <c r="D60" i="4" a="1"/>
  <c r="D60" i="4" s="1"/>
  <c r="C60" i="4" a="1"/>
  <c r="C60" i="4" s="1"/>
  <c r="B60" i="4" a="1"/>
  <c r="B60" i="4" s="1"/>
  <c r="V59" i="4" a="1"/>
  <c r="V59" i="4" s="1"/>
  <c r="U59" i="4" a="1"/>
  <c r="U59" i="4" s="1"/>
  <c r="H60" i="4" a="1"/>
  <c r="H60" i="4" s="1"/>
  <c r="G60" i="4" a="1"/>
  <c r="G60" i="4" s="1"/>
  <c r="F60" i="4" a="1"/>
  <c r="F60" i="4" s="1"/>
  <c r="AC83" i="4" a="1"/>
  <c r="AC83" i="4" s="1"/>
  <c r="W60" i="4" a="1"/>
  <c r="W60" i="4" s="1"/>
  <c r="V60" i="4" a="1"/>
  <c r="V60" i="4" s="1"/>
  <c r="AB83" i="4" a="1"/>
  <c r="AB83" i="4" s="1"/>
  <c r="F61" i="4" a="1"/>
  <c r="F61" i="4" s="1"/>
  <c r="E61" i="4" a="1"/>
  <c r="E61" i="4" s="1"/>
  <c r="D61" i="4" a="1"/>
  <c r="D61" i="4" s="1"/>
  <c r="C61" i="4" a="1"/>
  <c r="C61" i="4" s="1"/>
  <c r="AI60" i="4" a="1"/>
  <c r="AI60" i="4" s="1"/>
  <c r="AH60" i="4" a="1"/>
  <c r="AH60" i="4" s="1"/>
  <c r="B70" i="4" a="1"/>
  <c r="B70" i="4" s="1"/>
  <c r="A70" i="4" a="1"/>
  <c r="A70" i="4" s="1"/>
  <c r="AK69" i="4" a="1"/>
  <c r="AK69" i="4" s="1"/>
  <c r="AJ69" i="4" a="1"/>
  <c r="AJ69" i="4" s="1"/>
  <c r="AI69" i="4" a="1"/>
  <c r="AI69" i="4" s="1"/>
  <c r="Z61" i="4" a="1"/>
  <c r="Z61" i="4" s="1"/>
  <c r="H61" i="4" a="1"/>
  <c r="H61" i="4" s="1"/>
  <c r="G61" i="4" a="1"/>
  <c r="G61" i="4" s="1"/>
  <c r="AA83" i="4" a="1"/>
  <c r="AA83" i="4" s="1"/>
  <c r="C70" i="4" a="1"/>
  <c r="C70" i="4" s="1"/>
  <c r="K70" i="4" a="1"/>
  <c r="K70" i="4" s="1"/>
  <c r="J70" i="4" a="1"/>
  <c r="J70" i="4" s="1"/>
  <c r="I70" i="4" a="1"/>
  <c r="I70" i="4" s="1"/>
  <c r="H70" i="4" a="1"/>
  <c r="H70" i="4" s="1"/>
  <c r="G70" i="4" a="1"/>
  <c r="G70" i="4" s="1"/>
  <c r="F70" i="4" a="1"/>
  <c r="F70" i="4" s="1"/>
  <c r="E70" i="4" a="1"/>
  <c r="E70" i="4" s="1"/>
  <c r="D70" i="4" a="1"/>
  <c r="D70" i="4" s="1"/>
  <c r="R70" i="4" a="1"/>
  <c r="R70" i="4" s="1"/>
  <c r="Z83" i="4" a="1"/>
  <c r="Z83" i="4" s="1"/>
  <c r="Q70" i="4" a="1"/>
  <c r="Q70" i="4" s="1"/>
  <c r="P70" i="4" a="1"/>
  <c r="P70" i="4" s="1"/>
  <c r="O70" i="4" a="1"/>
  <c r="O70" i="4" s="1"/>
  <c r="N70" i="4" a="1"/>
  <c r="N70" i="4" s="1"/>
  <c r="M70" i="4" a="1"/>
  <c r="M70" i="4" s="1"/>
  <c r="L70" i="4" a="1"/>
  <c r="L70" i="4" s="1"/>
  <c r="Y83" i="4" a="1"/>
  <c r="Y83" i="4" s="1"/>
  <c r="T70" i="4" a="1"/>
  <c r="T70" i="4" s="1"/>
  <c r="S70" i="4" a="1"/>
  <c r="S70" i="4" s="1"/>
  <c r="Z70" i="4" a="1"/>
  <c r="Z70" i="4" s="1"/>
  <c r="Y70" i="4" a="1"/>
  <c r="Y70" i="4" s="1"/>
  <c r="X70" i="4" a="1"/>
  <c r="X70" i="4" s="1"/>
  <c r="W70" i="4" a="1"/>
  <c r="W70" i="4" s="1"/>
  <c r="V70" i="4" a="1"/>
  <c r="V70" i="4" s="1"/>
  <c r="U70" i="4" a="1"/>
  <c r="U70" i="4" s="1"/>
  <c r="W83" i="4" a="1"/>
  <c r="W83" i="4" s="1"/>
  <c r="X83" i="4" a="1"/>
  <c r="X83" i="4" s="1"/>
  <c r="V83" i="4" a="1"/>
  <c r="V83" i="4" s="1"/>
  <c r="U83" i="4" a="1"/>
  <c r="U83" i="4" s="1"/>
  <c r="AG70" i="4" a="1"/>
  <c r="AG70" i="4" s="1"/>
  <c r="AF70" i="4" a="1"/>
  <c r="AF70" i="4" s="1"/>
  <c r="AE70" i="4" a="1"/>
  <c r="AE70" i="4" s="1"/>
  <c r="AD70" i="4" a="1"/>
  <c r="AD70" i="4" s="1"/>
  <c r="AC70" i="4" a="1"/>
  <c r="AC70" i="4" s="1"/>
  <c r="AB70" i="4" a="1"/>
  <c r="AB70" i="4" s="1"/>
  <c r="AA70" i="4" a="1"/>
  <c r="AA70" i="4" s="1"/>
  <c r="T83" i="4" a="1"/>
  <c r="T83" i="4" s="1"/>
  <c r="S83" i="4" a="1"/>
  <c r="S83" i="4" s="1"/>
  <c r="I71" i="4" a="1"/>
  <c r="I71" i="4" s="1"/>
  <c r="H71" i="4" a="1"/>
  <c r="H71" i="4" s="1"/>
  <c r="G71" i="4" a="1"/>
  <c r="G71" i="4" s="1"/>
  <c r="F71" i="4" a="1"/>
  <c r="F71" i="4" s="1"/>
  <c r="E71" i="4" a="1"/>
  <c r="E71" i="4" s="1"/>
  <c r="D71" i="4" a="1"/>
  <c r="D71" i="4" s="1"/>
  <c r="C71" i="4" a="1"/>
  <c r="C71" i="4" s="1"/>
  <c r="B71" i="4" a="1"/>
  <c r="B71" i="4" s="1"/>
  <c r="A71" i="4" a="1"/>
  <c r="A71" i="4" s="1"/>
  <c r="AK70" i="4" a="1"/>
  <c r="AK70" i="4" s="1"/>
  <c r="AJ70" i="4" a="1"/>
  <c r="AJ70" i="4" s="1"/>
  <c r="AI70" i="4" a="1"/>
  <c r="AI70" i="4" s="1"/>
  <c r="AH70" i="4" a="1"/>
  <c r="AH70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R83" i="4" a="1"/>
  <c r="R83" i="4" s="1"/>
  <c r="Q83" i="4" a="1"/>
  <c r="Q83" i="4" s="1"/>
  <c r="P83" i="4" a="1"/>
  <c r="P83" i="4" s="1"/>
  <c r="O83" i="4" a="1"/>
  <c r="O83" i="4" s="1"/>
  <c r="P71" i="4" a="1"/>
  <c r="P71" i="4" s="1"/>
  <c r="O71" i="4" a="1"/>
  <c r="O71" i="4" s="1"/>
  <c r="N71" i="4" a="1"/>
  <c r="N71" i="4" s="1"/>
  <c r="M71" i="4" a="1"/>
  <c r="M71" i="4" s="1"/>
  <c r="L71" i="4" a="1"/>
  <c r="L71" i="4" s="1"/>
  <c r="K71" i="4" a="1"/>
  <c r="K71" i="4" s="1"/>
  <c r="J71" i="4" a="1"/>
  <c r="J71" i="4" s="1"/>
  <c r="O48" i="4" a="1"/>
  <c r="O48" i="4" s="1"/>
  <c r="AJ35" i="4" a="1"/>
  <c r="AJ35" i="4" s="1"/>
  <c r="P35" i="4" a="1"/>
  <c r="P35" i="4" s="1"/>
  <c r="O35" i="4" a="1"/>
  <c r="O35" i="4" s="1"/>
  <c r="N35" i="4" a="1"/>
  <c r="N35" i="4" s="1"/>
  <c r="B34" i="4" a="1"/>
  <c r="B34" i="4" s="1"/>
  <c r="A34" i="4" a="1"/>
  <c r="A34" i="4" s="1"/>
  <c r="C32" i="4" a="1"/>
  <c r="C32" i="4" s="1"/>
  <c r="B32" i="4" a="1"/>
  <c r="B32" i="4" s="1"/>
  <c r="A32" i="4" a="1"/>
  <c r="A32" i="4" s="1"/>
  <c r="AK31" i="4" a="1"/>
  <c r="AK31" i="4" s="1"/>
  <c r="X28" i="4" a="1"/>
  <c r="X28" i="4" s="1"/>
  <c r="D47" i="4" a="1"/>
  <c r="D47" i="4" s="1"/>
  <c r="E42" i="4" a="1"/>
  <c r="E42" i="4" s="1"/>
  <c r="N83" i="4" a="1"/>
  <c r="N83" i="4" s="1"/>
  <c r="J83" i="4" a="1"/>
  <c r="J83" i="4" s="1"/>
  <c r="S71" i="4" a="1"/>
  <c r="S71" i="4" s="1"/>
  <c r="R71" i="4" a="1"/>
  <c r="R71" i="4" s="1"/>
  <c r="Q71" i="4" a="1"/>
  <c r="Q71" i="4" s="1"/>
  <c r="D42" i="4" a="1"/>
  <c r="D42" i="4" s="1"/>
  <c r="C42" i="4" a="1"/>
  <c r="C42" i="4" s="1"/>
  <c r="B42" i="4" a="1"/>
  <c r="B42" i="4" s="1"/>
  <c r="A42" i="4" a="1"/>
  <c r="A42" i="4" s="1"/>
  <c r="AK41" i="4" a="1"/>
  <c r="AK41" i="4" s="1"/>
  <c r="AJ41" i="4" a="1"/>
  <c r="AJ41" i="4" s="1"/>
  <c r="AB38" i="4" a="1"/>
  <c r="AB38" i="4" s="1"/>
  <c r="AA38" i="4" a="1"/>
  <c r="AA38" i="4" s="1"/>
  <c r="Z38" i="4" a="1"/>
  <c r="Z38" i="4" s="1"/>
  <c r="Y38" i="4" a="1"/>
  <c r="Y38" i="4" s="1"/>
  <c r="X38" i="4" a="1"/>
  <c r="X38" i="4" s="1"/>
  <c r="W38" i="4" a="1"/>
  <c r="W38" i="4" s="1"/>
  <c r="V38" i="4" a="1"/>
  <c r="V38" i="4" s="1"/>
  <c r="U38" i="4" a="1"/>
  <c r="U38" i="4" s="1"/>
  <c r="T38" i="4" a="1"/>
  <c r="T38" i="4" s="1"/>
  <c r="S38" i="4" a="1"/>
  <c r="S38" i="4" s="1"/>
  <c r="R38" i="4" a="1"/>
  <c r="R38" i="4" s="1"/>
  <c r="W37" i="4" a="1"/>
  <c r="W37" i="4" s="1"/>
  <c r="V37" i="4" a="1"/>
  <c r="V37" i="4" s="1"/>
  <c r="U37" i="4" a="1"/>
  <c r="U37" i="4" s="1"/>
  <c r="T37" i="4" a="1"/>
  <c r="T37" i="4" s="1"/>
  <c r="S37" i="4" a="1"/>
  <c r="S37" i="4" s="1"/>
  <c r="M36" i="4" a="1"/>
  <c r="M36" i="4" s="1"/>
  <c r="AK35" i="4" a="1"/>
  <c r="AK35" i="4" s="1"/>
  <c r="M83" i="4" a="1"/>
  <c r="M83" i="4" s="1"/>
  <c r="L83" i="4" a="1"/>
  <c r="L83" i="4" s="1"/>
  <c r="K83" i="4" a="1"/>
  <c r="K83" i="4" s="1"/>
  <c r="B47" i="4" a="1"/>
  <c r="B47" i="4" s="1"/>
  <c r="G42" i="4" a="1"/>
  <c r="G42" i="4" s="1"/>
  <c r="F42" i="4" a="1"/>
  <c r="F42" i="4" s="1"/>
  <c r="I83" i="4" a="1"/>
  <c r="I83" i="4" s="1"/>
  <c r="F83" i="4" a="1"/>
  <c r="F83" i="4" s="1"/>
  <c r="AF71" i="4" a="1"/>
  <c r="AF71" i="4" s="1"/>
  <c r="AE71" i="4" a="1"/>
  <c r="AE71" i="4" s="1"/>
  <c r="AD71" i="4" a="1"/>
  <c r="AD71" i="4" s="1"/>
  <c r="AC71" i="4" a="1"/>
  <c r="AC71" i="4" s="1"/>
  <c r="AB71" i="4" a="1"/>
  <c r="AB71" i="4" s="1"/>
  <c r="AA71" i="4" a="1"/>
  <c r="AA71" i="4" s="1"/>
  <c r="Z71" i="4" a="1"/>
  <c r="Z71" i="4" s="1"/>
  <c r="Y71" i="4" a="1"/>
  <c r="Y71" i="4" s="1"/>
  <c r="X71" i="4" a="1"/>
  <c r="X71" i="4" s="1"/>
  <c r="W71" i="4" a="1"/>
  <c r="W71" i="4" s="1"/>
  <c r="V71" i="4" a="1"/>
  <c r="V71" i="4" s="1"/>
  <c r="U71" i="4" a="1"/>
  <c r="U71" i="4" s="1"/>
  <c r="T71" i="4" a="1"/>
  <c r="T71" i="4" s="1"/>
  <c r="W58" i="4" a="1"/>
  <c r="W58" i="4" s="1"/>
  <c r="V58" i="4" a="1"/>
  <c r="V58" i="4" s="1"/>
  <c r="U58" i="4" a="1"/>
  <c r="U58" i="4" s="1"/>
  <c r="T58" i="4" a="1"/>
  <c r="T58" i="4" s="1"/>
  <c r="S58" i="4" a="1"/>
  <c r="S58" i="4" s="1"/>
  <c r="R58" i="4" a="1"/>
  <c r="R58" i="4" s="1"/>
  <c r="Q58" i="4" a="1"/>
  <c r="Q58" i="4" s="1"/>
  <c r="P58" i="4" a="1"/>
  <c r="P58" i="4" s="1"/>
  <c r="O58" i="4" a="1"/>
  <c r="O58" i="4" s="1"/>
  <c r="N58" i="4" a="1"/>
  <c r="N58" i="4" s="1"/>
  <c r="M58" i="4" a="1"/>
  <c r="M58" i="4" s="1"/>
  <c r="L58" i="4" a="1"/>
  <c r="L58" i="4" s="1"/>
  <c r="K58" i="4" a="1"/>
  <c r="K58" i="4" s="1"/>
  <c r="J58" i="4" a="1"/>
  <c r="J58" i="4" s="1"/>
  <c r="I58" i="4" a="1"/>
  <c r="I58" i="4" s="1"/>
  <c r="G83" i="4" a="1"/>
  <c r="G83" i="4" s="1"/>
  <c r="X58" i="4" a="1"/>
  <c r="X58" i="4" s="1"/>
  <c r="H83" i="4" a="1"/>
  <c r="H83" i="4" s="1"/>
  <c r="Y58" i="4" a="1"/>
  <c r="Y58" i="4" s="1"/>
  <c r="E83" i="4" a="1"/>
  <c r="E83" i="4" s="1"/>
  <c r="K72" i="4" a="1"/>
  <c r="K72" i="4" s="1"/>
  <c r="J72" i="4" a="1"/>
  <c r="J72" i="4" s="1"/>
  <c r="I72" i="4" a="1"/>
  <c r="I72" i="4" s="1"/>
  <c r="H72" i="4" a="1"/>
  <c r="H72" i="4" s="1"/>
  <c r="G72" i="4" a="1"/>
  <c r="G72" i="4" s="1"/>
  <c r="F72" i="4" a="1"/>
  <c r="F72" i="4" s="1"/>
  <c r="E72" i="4" a="1"/>
  <c r="E72" i="4" s="1"/>
  <c r="D72" i="4" a="1"/>
  <c r="D72" i="4" s="1"/>
  <c r="C72" i="4" a="1"/>
  <c r="C72" i="4" s="1"/>
  <c r="B72" i="4" a="1"/>
  <c r="B72" i="4" s="1"/>
  <c r="A72" i="4" a="1"/>
  <c r="A72" i="4" s="1"/>
  <c r="AK71" i="4" a="1"/>
  <c r="AK71" i="4" s="1"/>
  <c r="AJ71" i="4" a="1"/>
  <c r="AJ71" i="4" s="1"/>
  <c r="AI71" i="4" a="1"/>
  <c r="AI71" i="4" s="1"/>
  <c r="AH71" i="4" a="1"/>
  <c r="AH71" i="4" s="1"/>
  <c r="AG71" i="4" a="1"/>
  <c r="AG71" i="4" s="1"/>
  <c r="F59" i="4" a="1"/>
  <c r="F59" i="4" s="1"/>
  <c r="E59" i="4" a="1"/>
  <c r="E59" i="4" s="1"/>
  <c r="D59" i="4" a="1"/>
  <c r="D59" i="4" s="1"/>
  <c r="C59" i="4" a="1"/>
  <c r="C59" i="4" s="1"/>
  <c r="B59" i="4" a="1"/>
  <c r="B59" i="4" s="1"/>
  <c r="A59" i="4" a="1"/>
  <c r="A59" i="4" s="1"/>
  <c r="D83" i="4" a="1"/>
  <c r="D83" i="4" s="1"/>
  <c r="C83" i="4" a="1"/>
  <c r="C83" i="4" s="1"/>
  <c r="R72" i="4" a="1"/>
  <c r="R72" i="4" s="1"/>
  <c r="Q72" i="4" a="1"/>
  <c r="Q72" i="4" s="1"/>
  <c r="P72" i="4" a="1"/>
  <c r="P72" i="4" s="1"/>
  <c r="O72" i="4" a="1"/>
  <c r="O72" i="4" s="1"/>
  <c r="N72" i="4" a="1"/>
  <c r="N72" i="4" s="1"/>
  <c r="M72" i="4" a="1"/>
  <c r="M72" i="4" s="1"/>
  <c r="L72" i="4" a="1"/>
  <c r="L72" i="4" s="1"/>
  <c r="Q59" i="4" a="1"/>
  <c r="Q59" i="4" s="1"/>
  <c r="P59" i="4" a="1"/>
  <c r="P59" i="4" s="1"/>
  <c r="O59" i="4" a="1"/>
  <c r="O59" i="4" s="1"/>
  <c r="N59" i="4" a="1"/>
  <c r="N59" i="4" s="1"/>
  <c r="M59" i="4" a="1"/>
  <c r="M59" i="4" s="1"/>
  <c r="AF84" i="4" a="1"/>
  <c r="AF84" i="4" s="1"/>
  <c r="AI84" i="4" a="1"/>
  <c r="AI84" i="4" s="1"/>
  <c r="S72" i="4" a="1"/>
  <c r="S72" i="4" s="1"/>
  <c r="W59" i="4" a="1"/>
  <c r="W59" i="4" s="1"/>
  <c r="AJ84" i="4" a="1"/>
  <c r="AJ84" i="4" s="1"/>
  <c r="AK84" i="4" a="1"/>
  <c r="AK84" i="4" s="1"/>
  <c r="AJ82" i="4" a="1"/>
  <c r="AJ82" i="4" s="1"/>
  <c r="AI82" i="4" a="1"/>
  <c r="AI82" i="4" s="1"/>
  <c r="AH82" i="4" a="1"/>
  <c r="AH82" i="4" s="1"/>
  <c r="AG82" i="4" a="1"/>
  <c r="AG82" i="4" s="1"/>
  <c r="Y72" i="4" a="1"/>
  <c r="Y72" i="4" s="1"/>
  <c r="X72" i="4" a="1"/>
  <c r="X72" i="4" s="1"/>
  <c r="W72" i="4" a="1"/>
  <c r="W72" i="4" s="1"/>
  <c r="V72" i="4" a="1"/>
  <c r="V72" i="4" s="1"/>
  <c r="U72" i="4" a="1"/>
  <c r="U72" i="4" s="1"/>
  <c r="T72" i="4" a="1"/>
  <c r="T72" i="4" s="1"/>
  <c r="A60" i="4" a="1"/>
  <c r="A60" i="4" s="1"/>
  <c r="AK59" i="4" a="1"/>
  <c r="AK59" i="4" s="1"/>
  <c r="AJ59" i="4" a="1"/>
  <c r="AJ59" i="4" s="1"/>
  <c r="AI59" i="4" a="1"/>
  <c r="AI59" i="4" s="1"/>
  <c r="AH59" i="4" a="1"/>
  <c r="AH59" i="4" s="1"/>
  <c r="AG59" i="4" a="1"/>
  <c r="AG59" i="4" s="1"/>
  <c r="AF59" i="4" a="1"/>
  <c r="AF59" i="4" s="1"/>
  <c r="AE59" i="4" a="1"/>
  <c r="AE59" i="4" s="1"/>
  <c r="AD59" i="4" a="1"/>
  <c r="AD59" i="4" s="1"/>
  <c r="AC59" i="4" a="1"/>
  <c r="AC59" i="4" s="1"/>
  <c r="AB59" i="4" a="1"/>
  <c r="AB59" i="4" s="1"/>
  <c r="AA59" i="4" a="1"/>
  <c r="AA59" i="4" s="1"/>
  <c r="Z59" i="4" a="1"/>
  <c r="Z59" i="4" s="1"/>
  <c r="Y59" i="4" a="1"/>
  <c r="Y59" i="4" s="1"/>
  <c r="X59" i="4" a="1"/>
  <c r="X59" i="4" s="1"/>
  <c r="B83" i="4" a="1"/>
  <c r="B83" i="4" s="1"/>
  <c r="K28" i="4" a="1"/>
  <c r="K28" i="4" s="1"/>
  <c r="J28" i="4" a="1"/>
  <c r="J28" i="4" s="1"/>
  <c r="I28" i="4" a="1"/>
  <c r="I28" i="4" s="1"/>
  <c r="AC27" i="4" a="1"/>
  <c r="AC27" i="4" s="1"/>
  <c r="AB27" i="4" a="1"/>
  <c r="AB27" i="4" s="1"/>
  <c r="A83" i="4" a="1"/>
  <c r="A83" i="4" s="1"/>
  <c r="Z27" i="4" a="1"/>
  <c r="Z27" i="4" s="1"/>
  <c r="Y27" i="4" a="1"/>
  <c r="Y27" i="4" s="1"/>
  <c r="X27" i="4" a="1"/>
  <c r="X27" i="4" s="1"/>
  <c r="W27" i="4" a="1"/>
  <c r="W27" i="4" s="1"/>
  <c r="AA27" i="4" a="1"/>
  <c r="AA27" i="4" s="1"/>
  <c r="U27" i="4" a="1"/>
  <c r="U27" i="4" s="1"/>
  <c r="T27" i="4" a="1"/>
  <c r="T27" i="4" s="1"/>
  <c r="A15" i="4" a="1"/>
  <c r="A15" i="4" s="1"/>
  <c r="AK82" i="4" a="1"/>
  <c r="AK82" i="4" s="1"/>
  <c r="V27" i="4" a="1"/>
  <c r="V27" i="4" s="1"/>
  <c r="AF82" i="4" a="1"/>
  <c r="AF82" i="4" s="1"/>
  <c r="AE82" i="4" a="1"/>
  <c r="AE82" i="4" s="1"/>
  <c r="AD82" i="4" a="1"/>
  <c r="AD82" i="4" s="1"/>
  <c r="AC82" i="4" a="1"/>
  <c r="AC82" i="4" s="1"/>
  <c r="D73" i="4" a="1"/>
  <c r="D73" i="4" s="1"/>
  <c r="C73" i="4" a="1"/>
  <c r="C73" i="4" s="1"/>
  <c r="B73" i="4" a="1"/>
  <c r="B73" i="4" s="1"/>
  <c r="A73" i="4" a="1"/>
  <c r="A73" i="4" s="1"/>
  <c r="AK72" i="4" a="1"/>
  <c r="AK72" i="4" s="1"/>
  <c r="AJ72" i="4" a="1"/>
  <c r="AJ72" i="4" s="1"/>
  <c r="AI72" i="4" a="1"/>
  <c r="AI72" i="4" s="1"/>
  <c r="AH72" i="4" a="1"/>
  <c r="AH72" i="4" s="1"/>
  <c r="AG72" i="4" a="1"/>
  <c r="AG72" i="4" s="1"/>
  <c r="AF72" i="4" a="1"/>
  <c r="AF72" i="4" s="1"/>
  <c r="AE72" i="4" a="1"/>
  <c r="AE72" i="4" s="1"/>
  <c r="AD72" i="4" a="1"/>
  <c r="AD72" i="4" s="1"/>
  <c r="AC72" i="4" a="1"/>
  <c r="AC72" i="4" s="1"/>
  <c r="AB72" i="4" a="1"/>
  <c r="AB72" i="4" s="1"/>
  <c r="AA72" i="4" a="1"/>
  <c r="AA72" i="4" s="1"/>
  <c r="Z72" i="4" a="1"/>
  <c r="Z72" i="4" s="1"/>
  <c r="U60" i="4" a="1"/>
  <c r="U60" i="4" s="1"/>
  <c r="T60" i="4" a="1"/>
  <c r="T60" i="4" s="1"/>
  <c r="S60" i="4" a="1"/>
  <c r="S60" i="4" s="1"/>
  <c r="R60" i="4" a="1"/>
  <c r="R60" i="4" s="1"/>
  <c r="Q60" i="4" a="1"/>
  <c r="Q60" i="4" s="1"/>
  <c r="P60" i="4" a="1"/>
  <c r="P60" i="4" s="1"/>
  <c r="O60" i="4" a="1"/>
  <c r="O60" i="4" s="1"/>
  <c r="N60" i="4" a="1"/>
  <c r="N60" i="4" s="1"/>
  <c r="M60" i="4" a="1"/>
  <c r="M60" i="4" s="1"/>
  <c r="L60" i="4" a="1"/>
  <c r="L60" i="4" s="1"/>
  <c r="K60" i="4" a="1"/>
  <c r="K60" i="4" s="1"/>
  <c r="J60" i="4" a="1"/>
  <c r="J60" i="4" s="1"/>
  <c r="I60" i="4" a="1"/>
  <c r="I60" i="4" s="1"/>
  <c r="AJ31" i="4" a="1"/>
  <c r="AJ31" i="4" s="1"/>
  <c r="AI31" i="4" a="1"/>
  <c r="AI31" i="4" s="1"/>
  <c r="AH31" i="4" a="1"/>
  <c r="AH31" i="4" s="1"/>
  <c r="AG31" i="4" a="1"/>
  <c r="AG31" i="4" s="1"/>
  <c r="AF31" i="4" a="1"/>
  <c r="AF31" i="4" s="1"/>
  <c r="AE31" i="4" a="1"/>
  <c r="AE31" i="4" s="1"/>
  <c r="AD31" i="4" a="1"/>
  <c r="AD31" i="4" s="1"/>
  <c r="AC31" i="4" a="1"/>
  <c r="AC31" i="4" s="1"/>
  <c r="AB31" i="4" a="1"/>
  <c r="AB31" i="4" s="1"/>
  <c r="AA31" i="4" a="1"/>
  <c r="AA31" i="4" s="1"/>
  <c r="Z31" i="4" a="1"/>
  <c r="Z31" i="4" s="1"/>
  <c r="Y31" i="4" a="1"/>
  <c r="Y31" i="4" s="1"/>
  <c r="X31" i="4" a="1"/>
  <c r="X31" i="4" s="1"/>
  <c r="W31" i="4" a="1"/>
  <c r="W31" i="4" s="1"/>
  <c r="A31" i="4" a="1"/>
  <c r="A31" i="4" s="1"/>
  <c r="AK30" i="4" a="1"/>
  <c r="AK30" i="4" s="1"/>
  <c r="AJ30" i="4" a="1"/>
  <c r="AJ30" i="4" s="1"/>
  <c r="AI30" i="4" a="1"/>
  <c r="AI30" i="4" s="1"/>
  <c r="Y28" i="4" a="1"/>
  <c r="Y28" i="4" s="1"/>
  <c r="AB82" i="4" a="1"/>
  <c r="AB82" i="4" s="1"/>
  <c r="AA82" i="4" a="1"/>
  <c r="AA82" i="4" s="1"/>
  <c r="T82" i="4" a="1"/>
  <c r="T82" i="4" s="1"/>
  <c r="K73" i="4" a="1"/>
  <c r="K73" i="4" s="1"/>
  <c r="J73" i="4" a="1"/>
  <c r="J73" i="4" s="1"/>
  <c r="I73" i="4" a="1"/>
  <c r="I73" i="4" s="1"/>
  <c r="H73" i="4" a="1"/>
  <c r="H73" i="4" s="1"/>
  <c r="G73" i="4" a="1"/>
  <c r="G73" i="4" s="1"/>
  <c r="F73" i="4" a="1"/>
  <c r="F73" i="4" s="1"/>
  <c r="E73" i="4" a="1"/>
  <c r="E73" i="4" s="1"/>
  <c r="AG60" i="4" a="1"/>
  <c r="AG60" i="4" s="1"/>
  <c r="AF60" i="4" a="1"/>
  <c r="AF60" i="4" s="1"/>
  <c r="AE60" i="4" a="1"/>
  <c r="AE60" i="4" s="1"/>
  <c r="AD60" i="4" a="1"/>
  <c r="AD60" i="4" s="1"/>
  <c r="AC60" i="4" a="1"/>
  <c r="AC60" i="4" s="1"/>
  <c r="AB60" i="4" a="1"/>
  <c r="AB60" i="4" s="1"/>
  <c r="AA60" i="4" a="1"/>
  <c r="AA60" i="4" s="1"/>
  <c r="Z60" i="4" a="1"/>
  <c r="Z60" i="4" s="1"/>
  <c r="Y60" i="4" a="1"/>
  <c r="Y60" i="4" s="1"/>
  <c r="X60" i="4" a="1"/>
  <c r="X60" i="4" s="1"/>
  <c r="AI35" i="4" a="1"/>
  <c r="AI35" i="4" s="1"/>
  <c r="AH35" i="4" a="1"/>
  <c r="AH35" i="4" s="1"/>
  <c r="AG35" i="4" a="1"/>
  <c r="AG35" i="4" s="1"/>
  <c r="AF35" i="4" a="1"/>
  <c r="AF35" i="4" s="1"/>
  <c r="AE35" i="4" a="1"/>
  <c r="AE35" i="4" s="1"/>
  <c r="AD35" i="4" a="1"/>
  <c r="AD35" i="4" s="1"/>
  <c r="AC35" i="4" a="1"/>
  <c r="AC35" i="4" s="1"/>
  <c r="AB35" i="4" a="1"/>
  <c r="AB35" i="4" s="1"/>
  <c r="AA35" i="4" a="1"/>
  <c r="AA35" i="4" s="1"/>
  <c r="Z35" i="4" a="1"/>
  <c r="Z35" i="4" s="1"/>
  <c r="Q35" i="4" a="1"/>
  <c r="Q35" i="4" s="1"/>
  <c r="Z82" i="4" a="1"/>
  <c r="Z82" i="4" s="1"/>
  <c r="Y82" i="4" a="1"/>
  <c r="Y82" i="4" s="1"/>
  <c r="X82" i="4" a="1"/>
  <c r="X82" i="4" s="1"/>
  <c r="W82" i="4" a="1"/>
  <c r="W82" i="4" s="1"/>
  <c r="V82" i="4" a="1"/>
  <c r="V82" i="4" s="1"/>
  <c r="U82" i="4" a="1"/>
  <c r="U82" i="4" s="1"/>
  <c r="B61" i="4" a="1"/>
  <c r="B61" i="4" s="1"/>
  <c r="A61" i="4" a="1"/>
  <c r="A61" i="4" s="1"/>
  <c r="AK60" i="4" a="1"/>
  <c r="AK60" i="4" s="1"/>
  <c r="AJ60" i="4" a="1"/>
  <c r="AJ60" i="4" s="1"/>
  <c r="R37" i="4" a="1"/>
  <c r="R37" i="4" s="1"/>
  <c r="H37" i="4" a="1"/>
  <c r="H37" i="4" s="1"/>
  <c r="G37" i="4" a="1"/>
  <c r="G37" i="4" s="1"/>
  <c r="F37" i="4" a="1"/>
  <c r="F37" i="4" s="1"/>
  <c r="E37" i="4" a="1"/>
  <c r="E37" i="4" s="1"/>
  <c r="O36" i="4" a="1"/>
  <c r="O36" i="4" s="1"/>
  <c r="N36" i="4" a="1"/>
  <c r="N36" i="4" s="1"/>
  <c r="S82" i="4" a="1"/>
  <c r="S82" i="4" s="1"/>
  <c r="R82" i="4" a="1"/>
  <c r="R82" i="4" s="1"/>
  <c r="Q82" i="4" a="1"/>
  <c r="Q82" i="4" s="1"/>
  <c r="P82" i="4" a="1"/>
  <c r="P82" i="4" s="1"/>
  <c r="O82" i="4" a="1"/>
  <c r="O82" i="4" s="1"/>
  <c r="Z73" i="4" a="1"/>
  <c r="Z73" i="4" s="1"/>
  <c r="Y73" i="4" a="1"/>
  <c r="Y73" i="4" s="1"/>
  <c r="X73" i="4" a="1"/>
  <c r="X73" i="4" s="1"/>
  <c r="W73" i="4" a="1"/>
  <c r="W73" i="4" s="1"/>
  <c r="V73" i="4" a="1"/>
  <c r="V73" i="4" s="1"/>
  <c r="U73" i="4" a="1"/>
  <c r="U73" i="4" s="1"/>
  <c r="T73" i="4" a="1"/>
  <c r="T73" i="4" s="1"/>
  <c r="S73" i="4" a="1"/>
  <c r="S73" i="4" s="1"/>
  <c r="R73" i="4" a="1"/>
  <c r="R73" i="4" s="1"/>
  <c r="Q73" i="4" a="1"/>
  <c r="Q73" i="4" s="1"/>
  <c r="P73" i="4" a="1"/>
  <c r="P73" i="4" s="1"/>
  <c r="O73" i="4" a="1"/>
  <c r="O73" i="4" s="1"/>
  <c r="N73" i="4" a="1"/>
  <c r="N73" i="4" s="1"/>
  <c r="M73" i="4" a="1"/>
  <c r="M73" i="4" s="1"/>
  <c r="L73" i="4" a="1"/>
  <c r="L73" i="4" s="1"/>
  <c r="Y61" i="4" a="1"/>
  <c r="Y61" i="4" s="1"/>
  <c r="X61" i="4" a="1"/>
  <c r="X61" i="4" s="1"/>
  <c r="W61" i="4" a="1"/>
  <c r="W61" i="4" s="1"/>
  <c r="V61" i="4" a="1"/>
  <c r="V61" i="4" s="1"/>
  <c r="U61" i="4" a="1"/>
  <c r="U61" i="4" s="1"/>
  <c r="T61" i="4" a="1"/>
  <c r="T61" i="4" s="1"/>
  <c r="S61" i="4" a="1"/>
  <c r="S61" i="4" s="1"/>
  <c r="R61" i="4" a="1"/>
  <c r="R61" i="4" s="1"/>
  <c r="Q61" i="4" a="1"/>
  <c r="Q61" i="4" s="1"/>
  <c r="P61" i="4" a="1"/>
  <c r="P61" i="4" s="1"/>
  <c r="O61" i="4" a="1"/>
  <c r="O61" i="4" s="1"/>
  <c r="N61" i="4" a="1"/>
  <c r="N61" i="4" s="1"/>
  <c r="M61" i="4" a="1"/>
  <c r="M61" i="4" s="1"/>
  <c r="L61" i="4" a="1"/>
  <c r="L61" i="4" s="1"/>
  <c r="K61" i="4" a="1"/>
  <c r="K61" i="4" s="1"/>
  <c r="J61" i="4" a="1"/>
  <c r="J61" i="4" s="1"/>
  <c r="I61" i="4" a="1"/>
  <c r="I61" i="4" s="1"/>
  <c r="AI41" i="4" a="1"/>
  <c r="AI41" i="4" s="1"/>
  <c r="AH41" i="4" a="1"/>
  <c r="AH41" i="4" s="1"/>
  <c r="AG41" i="4" a="1"/>
  <c r="AG41" i="4" s="1"/>
  <c r="AF41" i="4" a="1"/>
  <c r="AF41" i="4" s="1"/>
  <c r="AE41" i="4" a="1"/>
  <c r="AE41" i="4" s="1"/>
  <c r="AD41" i="4" a="1"/>
  <c r="AD41" i="4" s="1"/>
  <c r="AC41" i="4" a="1"/>
  <c r="AC41" i="4" s="1"/>
  <c r="AB41" i="4" a="1"/>
  <c r="AB41" i="4" s="1"/>
  <c r="C39" i="4" a="1"/>
  <c r="C39" i="4" s="1"/>
  <c r="B39" i="4" a="1"/>
  <c r="B39" i="4" s="1"/>
  <c r="A39" i="4" a="1"/>
  <c r="A39" i="4" s="1"/>
  <c r="AK38" i="4" a="1"/>
  <c r="AK38" i="4" s="1"/>
  <c r="AJ38" i="4" a="1"/>
  <c r="AJ38" i="4" s="1"/>
  <c r="AI38" i="4" a="1"/>
  <c r="AI38" i="4" s="1"/>
  <c r="AH38" i="4" a="1"/>
  <c r="AH38" i="4" s="1"/>
  <c r="AG38" i="4" a="1"/>
  <c r="AG38" i="4" s="1"/>
  <c r="AF38" i="4" a="1"/>
  <c r="AF38" i="4" s="1"/>
  <c r="AE38" i="4" a="1"/>
  <c r="AE38" i="4" s="1"/>
  <c r="AD38" i="4" a="1"/>
  <c r="AD38" i="4" s="1"/>
  <c r="AC38" i="4" a="1"/>
  <c r="AC38" i="4" s="1"/>
  <c r="L82" i="4" a="1"/>
  <c r="L82" i="4" s="1"/>
  <c r="K82" i="4" a="1"/>
  <c r="K82" i="4" s="1"/>
  <c r="J82" i="4" a="1"/>
  <c r="J82" i="4" s="1"/>
  <c r="H82" i="4" a="1"/>
  <c r="H82" i="4" s="1"/>
  <c r="G82" i="4" a="1"/>
  <c r="G82" i="4" s="1"/>
  <c r="F82" i="4" a="1"/>
  <c r="F82" i="4" s="1"/>
  <c r="E82" i="4" a="1"/>
  <c r="E82" i="4" s="1"/>
  <c r="D82" i="4" a="1"/>
  <c r="D82" i="4" s="1"/>
  <c r="AB73" i="4" a="1"/>
  <c r="AB73" i="4" s="1"/>
  <c r="AA73" i="4" a="1"/>
  <c r="AA73" i="4" s="1"/>
  <c r="AF69" i="4" a="1"/>
  <c r="AF69" i="4" s="1"/>
  <c r="AE69" i="4" a="1"/>
  <c r="AE69" i="4" s="1"/>
  <c r="AD69" i="4" a="1"/>
  <c r="AD69" i="4" s="1"/>
  <c r="AC69" i="4" a="1"/>
  <c r="AC69" i="4" s="1"/>
  <c r="O62" i="4" a="1"/>
  <c r="O62" i="4" s="1"/>
  <c r="AH61" i="4" a="1"/>
  <c r="AH61" i="4" s="1"/>
  <c r="AG61" i="4" a="1"/>
  <c r="AG61" i="4" s="1"/>
  <c r="AF61" i="4" a="1"/>
  <c r="AF61" i="4" s="1"/>
  <c r="AE61" i="4" a="1"/>
  <c r="AE61" i="4" s="1"/>
  <c r="AD61" i="4" a="1"/>
  <c r="AD61" i="4" s="1"/>
  <c r="AC61" i="4" a="1"/>
  <c r="AC61" i="4" s="1"/>
  <c r="AB61" i="4" a="1"/>
  <c r="AB61" i="4" s="1"/>
  <c r="AA61" i="4" a="1"/>
  <c r="AA61" i="4" s="1"/>
  <c r="A47" i="4" a="1"/>
  <c r="A47" i="4" s="1"/>
  <c r="AK46" i="4" a="1"/>
  <c r="AK46" i="4" s="1"/>
  <c r="U43" i="4" a="1"/>
  <c r="U43" i="4" s="1"/>
  <c r="T43" i="4" a="1"/>
  <c r="T43" i="4" s="1"/>
  <c r="S43" i="4" a="1"/>
  <c r="S43" i="4" s="1"/>
  <c r="R43" i="4" a="1"/>
  <c r="R43" i="4" s="1"/>
  <c r="Q43" i="4" a="1"/>
  <c r="Q43" i="4" s="1"/>
  <c r="P43" i="4" a="1"/>
  <c r="P43" i="4" s="1"/>
  <c r="L42" i="4" a="1"/>
  <c r="L42" i="4" s="1"/>
  <c r="K42" i="4" a="1"/>
  <c r="K42" i="4" s="1"/>
  <c r="J42" i="4" a="1"/>
  <c r="J42" i="4" s="1"/>
  <c r="I42" i="4" a="1"/>
  <c r="I42" i="4" s="1"/>
  <c r="H42" i="4" a="1"/>
  <c r="H42" i="4" s="1"/>
  <c r="N82" i="4" a="1"/>
  <c r="N82" i="4" s="1"/>
  <c r="M82" i="4" a="1"/>
  <c r="M82" i="4" s="1"/>
  <c r="AH69" i="4" a="1"/>
  <c r="AH69" i="4" s="1"/>
  <c r="AG69" i="4" a="1"/>
  <c r="AG69" i="4" s="1"/>
  <c r="N48" i="4" a="1"/>
  <c r="N48" i="4" s="1"/>
  <c r="M48" i="4" a="1"/>
  <c r="M48" i="4" s="1"/>
  <c r="L48" i="4" a="1"/>
  <c r="L48" i="4" s="1"/>
  <c r="I82" i="4" a="1"/>
  <c r="I82" i="4" s="1"/>
  <c r="N62" i="4" a="1"/>
  <c r="N62" i="4" s="1"/>
  <c r="M62" i="4" a="1"/>
  <c r="M62" i="4" s="1"/>
  <c r="AK61" i="4" a="1"/>
  <c r="AK61" i="4" s="1"/>
  <c r="AJ61" i="4" a="1"/>
  <c r="AJ61" i="4" s="1"/>
  <c r="AI61" i="4" a="1"/>
  <c r="AI61" i="4" s="1"/>
  <c r="AJ46" i="4" a="1"/>
  <c r="AJ46" i="4" s="1"/>
  <c r="Y44" i="4" a="1"/>
  <c r="Y44" i="4" s="1"/>
  <c r="X44" i="4" a="1"/>
  <c r="X44" i="4" s="1"/>
  <c r="W44" i="4" a="1"/>
  <c r="W44" i="4" s="1"/>
  <c r="V44" i="4" a="1"/>
  <c r="V44" i="4" s="1"/>
  <c r="U44" i="4" a="1"/>
  <c r="U44" i="4" s="1"/>
  <c r="T44" i="4" a="1"/>
  <c r="T44" i="4" s="1"/>
  <c r="S44" i="4" a="1"/>
  <c r="S44" i="4" s="1"/>
  <c r="R44" i="4" a="1"/>
  <c r="R44" i="4" s="1"/>
  <c r="Q44" i="4" a="1"/>
  <c r="Q44" i="4" s="1"/>
  <c r="P44" i="4" a="1"/>
  <c r="P44" i="4" s="1"/>
  <c r="O44" i="4" a="1"/>
  <c r="O44" i="4" s="1"/>
  <c r="N44" i="4" a="1"/>
  <c r="N44" i="4" s="1"/>
  <c r="M44" i="4" a="1"/>
  <c r="M44" i="4" s="1"/>
  <c r="L44" i="4" a="1"/>
  <c r="L44" i="4" s="1"/>
  <c r="K44" i="4" a="1"/>
  <c r="K44" i="4" s="1"/>
  <c r="J44" i="4" a="1"/>
  <c r="J44" i="4" s="1"/>
  <c r="I44" i="4" a="1"/>
  <c r="I44" i="4" s="1"/>
  <c r="H44" i="4" a="1"/>
  <c r="H44" i="4" s="1"/>
  <c r="G44" i="4" a="1"/>
  <c r="G44" i="4" s="1"/>
  <c r="F44" i="4" a="1"/>
  <c r="F44" i="4" s="1"/>
  <c r="E44" i="4" a="1"/>
  <c r="E44" i="4" s="1"/>
  <c r="V43" i="4" a="1"/>
  <c r="V43" i="4" s="1"/>
  <c r="A14" i="4" a="1"/>
  <c r="A14" i="4" s="1"/>
  <c r="A13" i="4" a="1"/>
  <c r="A13" i="4" s="1"/>
  <c r="A12" i="4" a="1"/>
  <c r="A12" i="4" s="1"/>
  <c r="A11" i="4" a="1"/>
  <c r="A11" i="4" s="1"/>
  <c r="C82" i="4" a="1"/>
  <c r="C82" i="4" s="1"/>
  <c r="B82" i="4" a="1"/>
  <c r="B82" i="4" s="1"/>
  <c r="A82" i="4" a="1"/>
  <c r="A82" i="4" s="1"/>
  <c r="AK81" i="4" a="1"/>
  <c r="AK81" i="4" s="1"/>
  <c r="AJ81" i="4" a="1"/>
  <c r="AJ81" i="4" s="1"/>
  <c r="AI81" i="4" a="1"/>
  <c r="AI81" i="4" s="1"/>
  <c r="AH81" i="4" a="1"/>
  <c r="AH81" i="4" s="1"/>
  <c r="AG81" i="4" a="1"/>
  <c r="AG81" i="4" s="1"/>
  <c r="AF81" i="4" a="1"/>
  <c r="AF81" i="4" s="1"/>
  <c r="AE81" i="4" a="1"/>
  <c r="AE81" i="4" s="1"/>
  <c r="AD73" i="4" a="1"/>
  <c r="AD73" i="4" s="1"/>
  <c r="AC73" i="4" a="1"/>
  <c r="AC73" i="4" s="1"/>
  <c r="L62" i="4" a="1"/>
  <c r="L62" i="4" s="1"/>
  <c r="K62" i="4" a="1"/>
  <c r="K62" i="4" s="1"/>
  <c r="J62" i="4" a="1"/>
  <c r="J62" i="4" s="1"/>
  <c r="I62" i="4" a="1"/>
  <c r="I62" i="4" s="1"/>
  <c r="H62" i="4" a="1"/>
  <c r="H62" i="4" s="1"/>
  <c r="G62" i="4" a="1"/>
  <c r="G62" i="4" s="1"/>
  <c r="F62" i="4" a="1"/>
  <c r="F62" i="4" s="1"/>
  <c r="E62" i="4" a="1"/>
  <c r="E62" i="4" s="1"/>
  <c r="D62" i="4" a="1"/>
  <c r="D62" i="4" s="1"/>
  <c r="C62" i="4" a="1"/>
  <c r="C62" i="4" s="1"/>
  <c r="B62" i="4" a="1"/>
  <c r="B62" i="4" s="1"/>
  <c r="A62" i="4" a="1"/>
  <c r="A62" i="4" s="1"/>
  <c r="K48" i="4" a="1"/>
  <c r="K48" i="4" s="1"/>
  <c r="J48" i="4" a="1"/>
  <c r="J48" i="4" s="1"/>
  <c r="Q47" i="4" a="1"/>
  <c r="Q47" i="4" s="1"/>
  <c r="P47" i="4" a="1"/>
  <c r="P47" i="4" s="1"/>
  <c r="O47" i="4" a="1"/>
  <c r="O47" i="4" s="1"/>
  <c r="N47" i="4" a="1"/>
  <c r="N47" i="4" s="1"/>
  <c r="M47" i="4" a="1"/>
  <c r="M47" i="4" s="1"/>
  <c r="L47" i="4" a="1"/>
  <c r="L47" i="4" s="1"/>
  <c r="K47" i="4" a="1"/>
  <c r="K47" i="4" s="1"/>
  <c r="J47" i="4" a="1"/>
  <c r="J47" i="4" s="1"/>
  <c r="I47" i="4" a="1"/>
  <c r="I47" i="4" s="1"/>
  <c r="H47" i="4" a="1"/>
  <c r="H47" i="4" s="1"/>
  <c r="G47" i="4" a="1"/>
  <c r="G47" i="4" s="1"/>
  <c r="F47" i="4" a="1"/>
  <c r="F47" i="4" s="1"/>
  <c r="E47" i="4" a="1"/>
  <c r="E47" i="4" s="1"/>
  <c r="H28" i="4" a="1"/>
  <c r="H28" i="4" s="1"/>
  <c r="G28" i="4" a="1"/>
  <c r="G28" i="4" s="1"/>
  <c r="F28" i="4" a="1"/>
  <c r="F28" i="4" s="1"/>
  <c r="E28" i="4" a="1"/>
  <c r="E28" i="4" s="1"/>
  <c r="D28" i="4" a="1"/>
  <c r="D28" i="4" s="1"/>
  <c r="C28" i="4" a="1"/>
  <c r="C28" i="4" s="1"/>
  <c r="B28" i="4" a="1"/>
  <c r="B28" i="4" s="1"/>
  <c r="A28" i="4" a="1"/>
  <c r="A28" i="4" s="1"/>
  <c r="AK27" i="4" a="1"/>
  <c r="AK27" i="4" s="1"/>
  <c r="AJ27" i="4" a="1"/>
  <c r="AJ27" i="4" s="1"/>
  <c r="AI27" i="4" a="1"/>
  <c r="AI27" i="4" s="1"/>
  <c r="AH27" i="4" a="1"/>
  <c r="AH27" i="4" s="1"/>
  <c r="AG27" i="4" a="1"/>
  <c r="AG27" i="4" s="1"/>
  <c r="AF27" i="4" a="1"/>
  <c r="AF27" i="4" s="1"/>
  <c r="AE27" i="4" a="1"/>
  <c r="AE27" i="4" s="1"/>
  <c r="AD27" i="4" a="1"/>
  <c r="AD27" i="4" s="1"/>
  <c r="AD81" i="4" a="1"/>
  <c r="AD81" i="4" s="1"/>
  <c r="AC81" i="4" a="1"/>
  <c r="AC81" i="4" s="1"/>
  <c r="AB81" i="4" a="1"/>
  <c r="AB81" i="4" s="1"/>
  <c r="AA81" i="4" a="1"/>
  <c r="AA81" i="4" s="1"/>
  <c r="Z81" i="4" a="1"/>
  <c r="Z81" i="4" s="1"/>
  <c r="Y81" i="4" a="1"/>
  <c r="Y81" i="4" s="1"/>
  <c r="X81" i="4" a="1"/>
  <c r="X81" i="4" s="1"/>
  <c r="W81" i="4" a="1"/>
  <c r="W81" i="4" s="1"/>
  <c r="V81" i="4" a="1"/>
  <c r="V81" i="4" s="1"/>
  <c r="U81" i="4" a="1"/>
  <c r="U81" i="4" s="1"/>
  <c r="E74" i="4" a="1"/>
  <c r="E74" i="4" s="1"/>
  <c r="D74" i="4" a="1"/>
  <c r="D74" i="4" s="1"/>
  <c r="C74" i="4" a="1"/>
  <c r="C74" i="4" s="1"/>
  <c r="B74" i="4" a="1"/>
  <c r="B74" i="4" s="1"/>
  <c r="A74" i="4" a="1"/>
  <c r="A74" i="4" s="1"/>
  <c r="AK73" i="4" a="1"/>
  <c r="AK73" i="4" s="1"/>
  <c r="AJ73" i="4" a="1"/>
  <c r="AJ73" i="4" s="1"/>
  <c r="AI73" i="4" a="1"/>
  <c r="AI73" i="4" s="1"/>
  <c r="AH73" i="4" a="1"/>
  <c r="AH73" i="4" s="1"/>
  <c r="AG73" i="4" a="1"/>
  <c r="AG73" i="4" s="1"/>
  <c r="AF73" i="4" a="1"/>
  <c r="AF73" i="4" s="1"/>
  <c r="AE73" i="4" a="1"/>
  <c r="AE73" i="4" s="1"/>
  <c r="T62" i="4" a="1"/>
  <c r="T62" i="4" s="1"/>
  <c r="S62" i="4" a="1"/>
  <c r="S62" i="4" s="1"/>
  <c r="R62" i="4" a="1"/>
  <c r="R62" i="4" s="1"/>
  <c r="Q62" i="4" a="1"/>
  <c r="Q62" i="4" s="1"/>
  <c r="P62" i="4" a="1"/>
  <c r="P62" i="4" s="1"/>
  <c r="I48" i="4" a="1"/>
  <c r="I48" i="4" s="1"/>
  <c r="H48" i="4" a="1"/>
  <c r="H48" i="4" s="1"/>
  <c r="G48" i="4" a="1"/>
  <c r="G48" i="4" s="1"/>
  <c r="F48" i="4" a="1"/>
  <c r="F48" i="4" s="1"/>
  <c r="E48" i="4" a="1"/>
  <c r="E48" i="4" s="1"/>
  <c r="D48" i="4" a="1"/>
  <c r="D48" i="4" s="1"/>
  <c r="C48" i="4" a="1"/>
  <c r="C48" i="4" s="1"/>
  <c r="B48" i="4" a="1"/>
  <c r="B48" i="4" s="1"/>
  <c r="A48" i="4" a="1"/>
  <c r="A48" i="4" s="1"/>
  <c r="AK47" i="4" a="1"/>
  <c r="AK47" i="4" s="1"/>
  <c r="AJ47" i="4" a="1"/>
  <c r="AJ47" i="4" s="1"/>
  <c r="AI47" i="4" a="1"/>
  <c r="AI47" i="4" s="1"/>
  <c r="AH47" i="4" a="1"/>
  <c r="AH47" i="4" s="1"/>
  <c r="AG47" i="4" a="1"/>
  <c r="AG47" i="4" s="1"/>
  <c r="AF47" i="4" a="1"/>
  <c r="AF47" i="4" s="1"/>
  <c r="AE47" i="4" a="1"/>
  <c r="AE47" i="4" s="1"/>
  <c r="AD47" i="4" a="1"/>
  <c r="AD47" i="4" s="1"/>
  <c r="AC47" i="4" a="1"/>
  <c r="AC47" i="4" s="1"/>
  <c r="AB47" i="4" a="1"/>
  <c r="AB47" i="4" s="1"/>
  <c r="AA47" i="4" a="1"/>
  <c r="AA47" i="4" s="1"/>
  <c r="Z47" i="4" a="1"/>
  <c r="Z47" i="4" s="1"/>
  <c r="Y47" i="4" a="1"/>
  <c r="Y47" i="4" s="1"/>
  <c r="X47" i="4" a="1"/>
  <c r="X47" i="4" s="1"/>
  <c r="W47" i="4" a="1"/>
  <c r="W47" i="4" s="1"/>
  <c r="V47" i="4" a="1"/>
  <c r="V47" i="4" s="1"/>
  <c r="U47" i="4" a="1"/>
  <c r="U47" i="4" s="1"/>
  <c r="T47" i="4" a="1"/>
  <c r="T47" i="4" s="1"/>
  <c r="S47" i="4" a="1"/>
  <c r="S47" i="4" s="1"/>
  <c r="R47" i="4" a="1"/>
  <c r="R47" i="4" s="1"/>
  <c r="AH30" i="4" a="1"/>
  <c r="AH30" i="4" s="1"/>
  <c r="AG30" i="4" a="1"/>
  <c r="AG30" i="4" s="1"/>
  <c r="AF30" i="4" a="1"/>
  <c r="AF30" i="4" s="1"/>
  <c r="AE30" i="4" a="1"/>
  <c r="AE30" i="4" s="1"/>
  <c r="AD30" i="4" a="1"/>
  <c r="AD30" i="4" s="1"/>
  <c r="G30" i="4" a="1"/>
  <c r="G30" i="4" s="1"/>
  <c r="F30" i="4" a="1"/>
  <c r="F30" i="4" s="1"/>
  <c r="E30" i="4" a="1"/>
  <c r="E30" i="4" s="1"/>
  <c r="D30" i="4" a="1"/>
  <c r="D30" i="4" s="1"/>
  <c r="C30" i="4" a="1"/>
  <c r="C30" i="4" s="1"/>
  <c r="B30" i="4" a="1"/>
  <c r="B30" i="4" s="1"/>
  <c r="A30" i="4" a="1"/>
  <c r="A30" i="4" s="1"/>
  <c r="AK29" i="4" a="1"/>
  <c r="AK29" i="4" s="1"/>
  <c r="AJ29" i="4" a="1"/>
  <c r="AJ29" i="4" s="1"/>
  <c r="AI29" i="4" a="1"/>
  <c r="AI29" i="4" s="1"/>
  <c r="AH29" i="4" a="1"/>
  <c r="AH29" i="4" s="1"/>
  <c r="AG29" i="4" a="1"/>
  <c r="AG29" i="4" s="1"/>
  <c r="AF29" i="4" a="1"/>
  <c r="AF29" i="4" s="1"/>
  <c r="AE29" i="4" a="1"/>
  <c r="AE29" i="4" s="1"/>
  <c r="AD29" i="4" a="1"/>
  <c r="AD29" i="4" s="1"/>
  <c r="AC29" i="4" a="1"/>
  <c r="AC29" i="4" s="1"/>
  <c r="Z28" i="4" a="1"/>
  <c r="Z28" i="4" s="1"/>
  <c r="T81" i="4" a="1"/>
  <c r="T81" i="4" s="1"/>
  <c r="S81" i="4" a="1"/>
  <c r="S81" i="4" s="1"/>
  <c r="R81" i="4" a="1"/>
  <c r="R81" i="4" s="1"/>
  <c r="Q81" i="4" a="1"/>
  <c r="Q81" i="4" s="1"/>
  <c r="P81" i="4" a="1"/>
  <c r="P81" i="4" s="1"/>
  <c r="O81" i="4" a="1"/>
  <c r="O81" i="4" s="1"/>
  <c r="N81" i="4" a="1"/>
  <c r="N81" i="4" s="1"/>
  <c r="M81" i="4" a="1"/>
  <c r="M81" i="4" s="1"/>
  <c r="L81" i="4" a="1"/>
  <c r="L81" i="4" s="1"/>
  <c r="K81" i="4" a="1"/>
  <c r="K81" i="4" s="1"/>
  <c r="J81" i="4" a="1"/>
  <c r="J81" i="4" s="1"/>
  <c r="I81" i="4" a="1"/>
  <c r="I81" i="4" s="1"/>
  <c r="H81" i="4" a="1"/>
  <c r="H81" i="4" s="1"/>
  <c r="G81" i="4" a="1"/>
  <c r="G81" i="4" s="1"/>
  <c r="F81" i="4" a="1"/>
  <c r="F81" i="4" s="1"/>
  <c r="E81" i="4" a="1"/>
  <c r="E81" i="4" s="1"/>
  <c r="D81" i="4" a="1"/>
  <c r="D81" i="4" s="1"/>
  <c r="C81" i="4" a="1"/>
  <c r="C81" i="4" s="1"/>
  <c r="H74" i="4" a="1"/>
  <c r="H74" i="4" s="1"/>
  <c r="G74" i="4" a="1"/>
  <c r="G74" i="4" s="1"/>
  <c r="F74" i="4" a="1"/>
  <c r="F74" i="4" s="1"/>
  <c r="AB69" i="4" a="1"/>
  <c r="AB69" i="4" s="1"/>
  <c r="AA69" i="4" a="1"/>
  <c r="AA69" i="4" s="1"/>
  <c r="Z69" i="4" a="1"/>
  <c r="Z69" i="4" s="1"/>
  <c r="Y69" i="4" a="1"/>
  <c r="Y69" i="4" s="1"/>
  <c r="X69" i="4" a="1"/>
  <c r="X69" i="4" s="1"/>
  <c r="W69" i="4" a="1"/>
  <c r="W69" i="4" s="1"/>
  <c r="V69" i="4" a="1"/>
  <c r="V69" i="4" s="1"/>
  <c r="U69" i="4" a="1"/>
  <c r="U69" i="4" s="1"/>
  <c r="T69" i="4" a="1"/>
  <c r="T69" i="4" s="1"/>
  <c r="S69" i="4" a="1"/>
  <c r="S69" i="4" s="1"/>
  <c r="R69" i="4" a="1"/>
  <c r="R69" i="4" s="1"/>
  <c r="Q69" i="4" a="1"/>
  <c r="Q69" i="4" s="1"/>
  <c r="P69" i="4" a="1"/>
  <c r="P69" i="4" s="1"/>
  <c r="O69" i="4" a="1"/>
  <c r="O69" i="4" s="1"/>
  <c r="N69" i="4" a="1"/>
  <c r="N69" i="4" s="1"/>
  <c r="M69" i="4" a="1"/>
  <c r="M69" i="4" s="1"/>
  <c r="Z62" i="4" a="1"/>
  <c r="Z62" i="4" s="1"/>
  <c r="Y62" i="4" a="1"/>
  <c r="Y62" i="4" s="1"/>
  <c r="X62" i="4" a="1"/>
  <c r="X62" i="4" s="1"/>
  <c r="W62" i="4" a="1"/>
  <c r="W62" i="4" s="1"/>
  <c r="V62" i="4" a="1"/>
  <c r="V62" i="4" s="1"/>
  <c r="U62" i="4" a="1"/>
  <c r="U62" i="4" s="1"/>
  <c r="H58" i="4" a="1"/>
  <c r="H58" i="4" s="1"/>
  <c r="G58" i="4" a="1"/>
  <c r="G58" i="4" s="1"/>
  <c r="F58" i="4" a="1"/>
  <c r="F58" i="4" s="1"/>
  <c r="E58" i="4" a="1"/>
  <c r="E58" i="4" s="1"/>
  <c r="D58" i="4" a="1"/>
  <c r="D58" i="4" s="1"/>
  <c r="C58" i="4" a="1"/>
  <c r="C58" i="4" s="1"/>
  <c r="AF57" i="4" a="1"/>
  <c r="AF57" i="4" s="1"/>
  <c r="AE57" i="4" a="1"/>
  <c r="AE57" i="4" s="1"/>
  <c r="A50" i="4" a="1"/>
  <c r="A50" i="4" s="1"/>
  <c r="V49" i="4" a="1"/>
  <c r="V49" i="4" s="1"/>
  <c r="U49" i="4" a="1"/>
  <c r="U49" i="4" s="1"/>
  <c r="AD48" i="4" a="1"/>
  <c r="AD48" i="4" s="1"/>
  <c r="AC48" i="4" a="1"/>
  <c r="AC48" i="4" s="1"/>
  <c r="AB48" i="4" a="1"/>
  <c r="AB48" i="4" s="1"/>
  <c r="AA48" i="4" a="1"/>
  <c r="AA48" i="4" s="1"/>
  <c r="Z48" i="4" a="1"/>
  <c r="Z48" i="4" s="1"/>
  <c r="Y48" i="4" a="1"/>
  <c r="Y48" i="4" s="1"/>
  <c r="X48" i="4" a="1"/>
  <c r="X48" i="4" s="1"/>
  <c r="W48" i="4" a="1"/>
  <c r="W48" i="4" s="1"/>
  <c r="V48" i="4" a="1"/>
  <c r="V48" i="4" s="1"/>
  <c r="AK33" i="4" a="1"/>
  <c r="AK33" i="4" s="1"/>
  <c r="AJ33" i="4" a="1"/>
  <c r="AJ33" i="4" s="1"/>
  <c r="AI33" i="4" a="1"/>
  <c r="AI33" i="4" s="1"/>
  <c r="T32" i="4" a="1"/>
  <c r="T32" i="4" s="1"/>
  <c r="S32" i="4" a="1"/>
  <c r="S32" i="4" s="1"/>
  <c r="R32" i="4" a="1"/>
  <c r="R32" i="4" s="1"/>
  <c r="Q32" i="4" a="1"/>
  <c r="Q32" i="4" s="1"/>
  <c r="P32" i="4" a="1"/>
  <c r="P32" i="4" s="1"/>
  <c r="O32" i="4" a="1"/>
  <c r="O32" i="4" s="1"/>
  <c r="N32" i="4" a="1"/>
  <c r="N32" i="4" s="1"/>
  <c r="M32" i="4" a="1"/>
  <c r="M32" i="4" s="1"/>
  <c r="L32" i="4" a="1"/>
  <c r="L32" i="4" s="1"/>
  <c r="K32" i="4" a="1"/>
  <c r="K32" i="4" s="1"/>
  <c r="J32" i="4" a="1"/>
  <c r="J32" i="4" s="1"/>
  <c r="I32" i="4" a="1"/>
  <c r="I32" i="4" s="1"/>
  <c r="H32" i="4" a="1"/>
  <c r="H32" i="4" s="1"/>
  <c r="G32" i="4" a="1"/>
  <c r="G32" i="4" s="1"/>
  <c r="F32" i="4" a="1"/>
  <c r="F32" i="4" s="1"/>
  <c r="E32" i="4" a="1"/>
  <c r="E32" i="4" s="1"/>
  <c r="D32" i="4" a="1"/>
  <c r="D32" i="4" s="1"/>
  <c r="B81" i="4" a="1"/>
  <c r="B81" i="4" s="1"/>
  <c r="A81" i="4" a="1"/>
  <c r="A81" i="4" s="1"/>
  <c r="AK80" i="4" a="1"/>
  <c r="AK80" i="4" s="1"/>
  <c r="AJ80" i="4" a="1"/>
  <c r="AJ80" i="4" s="1"/>
  <c r="AI80" i="4" a="1"/>
  <c r="AI80" i="4" s="1"/>
  <c r="AC80" i="4" a="1"/>
  <c r="AC80" i="4" s="1"/>
  <c r="I74" i="4" a="1"/>
  <c r="I74" i="4" s="1"/>
  <c r="L69" i="4" a="1"/>
  <c r="L69" i="4" s="1"/>
  <c r="K69" i="4" a="1"/>
  <c r="K69" i="4" s="1"/>
  <c r="C63" i="4" a="1"/>
  <c r="C63" i="4" s="1"/>
  <c r="AH62" i="4" a="1"/>
  <c r="AH62" i="4" s="1"/>
  <c r="AG62" i="4" a="1"/>
  <c r="AG62" i="4" s="1"/>
  <c r="AF62" i="4" a="1"/>
  <c r="AF62" i="4" s="1"/>
  <c r="AE62" i="4" a="1"/>
  <c r="AE62" i="4" s="1"/>
  <c r="AD62" i="4" a="1"/>
  <c r="AD62" i="4" s="1"/>
  <c r="AC62" i="4" a="1"/>
  <c r="AC62" i="4" s="1"/>
  <c r="AB62" i="4" a="1"/>
  <c r="AB62" i="4" s="1"/>
  <c r="AA62" i="4" a="1"/>
  <c r="AA62" i="4" s="1"/>
  <c r="T49" i="4" a="1"/>
  <c r="T49" i="4" s="1"/>
  <c r="J49" i="4" a="1"/>
  <c r="J49" i="4" s="1"/>
  <c r="I49" i="4" a="1"/>
  <c r="I49" i="4" s="1"/>
  <c r="H49" i="4" a="1"/>
  <c r="H49" i="4" s="1"/>
  <c r="G49" i="4" a="1"/>
  <c r="G49" i="4" s="1"/>
  <c r="F49" i="4" a="1"/>
  <c r="F49" i="4" s="1"/>
  <c r="E49" i="4" a="1"/>
  <c r="E49" i="4" s="1"/>
  <c r="D49" i="4" a="1"/>
  <c r="D49" i="4" s="1"/>
  <c r="C49" i="4" a="1"/>
  <c r="C49" i="4" s="1"/>
  <c r="B49" i="4" a="1"/>
  <c r="B49" i="4" s="1"/>
  <c r="A49" i="4" a="1"/>
  <c r="A49" i="4" s="1"/>
  <c r="AK48" i="4" a="1"/>
  <c r="AK48" i="4" s="1"/>
  <c r="AJ48" i="4" a="1"/>
  <c r="AJ48" i="4" s="1"/>
  <c r="AI48" i="4" a="1"/>
  <c r="AI48" i="4" s="1"/>
  <c r="AH48" i="4" a="1"/>
  <c r="AH48" i="4" s="1"/>
  <c r="AG48" i="4" a="1"/>
  <c r="AG48" i="4" s="1"/>
  <c r="AF48" i="4" a="1"/>
  <c r="AF48" i="4" s="1"/>
  <c r="AE48" i="4" a="1"/>
  <c r="AE48" i="4" s="1"/>
  <c r="M35" i="4" a="1"/>
  <c r="M35" i="4" s="1"/>
  <c r="L35" i="4" a="1"/>
  <c r="L35" i="4" s="1"/>
  <c r="K35" i="4" a="1"/>
  <c r="K35" i="4" s="1"/>
  <c r="J35" i="4" a="1"/>
  <c r="J35" i="4" s="1"/>
  <c r="I35" i="4" a="1"/>
  <c r="I35" i="4" s="1"/>
  <c r="H35" i="4" a="1"/>
  <c r="H35" i="4" s="1"/>
  <c r="G35" i="4" a="1"/>
  <c r="G35" i="4" s="1"/>
  <c r="F35" i="4" a="1"/>
  <c r="F35" i="4" s="1"/>
  <c r="E35" i="4" a="1"/>
  <c r="E35" i="4" s="1"/>
  <c r="D35" i="4" a="1"/>
  <c r="D35" i="4" s="1"/>
  <c r="C35" i="4" a="1"/>
  <c r="C35" i="4" s="1"/>
  <c r="B35" i="4" a="1"/>
  <c r="B35" i="4" s="1"/>
  <c r="A35" i="4" a="1"/>
  <c r="A35" i="4" s="1"/>
  <c r="I34" i="4" a="1"/>
  <c r="I34" i="4" s="1"/>
  <c r="H34" i="4" a="1"/>
  <c r="H34" i="4" s="1"/>
  <c r="G34" i="4" a="1"/>
  <c r="G34" i="4" s="1"/>
  <c r="F34" i="4" a="1"/>
  <c r="F34" i="4" s="1"/>
  <c r="E34" i="4" a="1"/>
  <c r="E34" i="4" s="1"/>
  <c r="D34" i="4" a="1"/>
  <c r="D34" i="4" s="1"/>
  <c r="C34" i="4" a="1"/>
  <c r="C34" i="4" s="1"/>
  <c r="AH80" i="4" a="1"/>
  <c r="AH80" i="4" s="1"/>
  <c r="AG80" i="4" a="1"/>
  <c r="AG80" i="4" s="1"/>
  <c r="AF80" i="4" a="1"/>
  <c r="AF80" i="4" s="1"/>
  <c r="AE80" i="4" a="1"/>
  <c r="AE80" i="4" s="1"/>
  <c r="AD80" i="4" a="1"/>
  <c r="AD80" i="4" s="1"/>
  <c r="B63" i="4" a="1"/>
  <c r="B63" i="4" s="1"/>
  <c r="A63" i="4" a="1"/>
  <c r="A63" i="4" s="1"/>
  <c r="AK62" i="4" a="1"/>
  <c r="AK62" i="4" s="1"/>
  <c r="AJ62" i="4" a="1"/>
  <c r="AJ62" i="4" s="1"/>
  <c r="AI62" i="4" a="1"/>
  <c r="AI62" i="4" s="1"/>
  <c r="S49" i="4" a="1"/>
  <c r="S49" i="4" s="1"/>
  <c r="R49" i="4" a="1"/>
  <c r="R49" i="4" s="1"/>
  <c r="Q49" i="4" a="1"/>
  <c r="Q49" i="4" s="1"/>
  <c r="P49" i="4" a="1"/>
  <c r="P49" i="4" s="1"/>
  <c r="O49" i="4" a="1"/>
  <c r="O49" i="4" s="1"/>
  <c r="N49" i="4" a="1"/>
  <c r="N49" i="4" s="1"/>
  <c r="M49" i="4" a="1"/>
  <c r="M49" i="4" s="1"/>
  <c r="L49" i="4" a="1"/>
  <c r="L49" i="4" s="1"/>
  <c r="K49" i="4" a="1"/>
  <c r="K49" i="4" s="1"/>
  <c r="Y35" i="4" a="1"/>
  <c r="Y35" i="4" s="1"/>
  <c r="X35" i="4" a="1"/>
  <c r="X35" i="4" s="1"/>
  <c r="W35" i="4" a="1"/>
  <c r="W35" i="4" s="1"/>
  <c r="V35" i="4" a="1"/>
  <c r="V35" i="4" s="1"/>
  <c r="U35" i="4" a="1"/>
  <c r="U35" i="4" s="1"/>
  <c r="T35" i="4" a="1"/>
  <c r="T35" i="4" s="1"/>
  <c r="S35" i="4" a="1"/>
  <c r="S35" i="4" s="1"/>
  <c r="R35" i="4" a="1"/>
  <c r="R35" i="4" s="1"/>
  <c r="AB80" i="4" a="1"/>
  <c r="AB80" i="4" s="1"/>
  <c r="AA80" i="4" a="1"/>
  <c r="AA80" i="4" s="1"/>
  <c r="Z80" i="4" a="1"/>
  <c r="Z80" i="4" s="1"/>
  <c r="Y80" i="4" a="1"/>
  <c r="Y80" i="4" s="1"/>
  <c r="Q80" i="4" a="1"/>
  <c r="Q80" i="4" s="1"/>
  <c r="P80" i="4" a="1"/>
  <c r="P80" i="4" s="1"/>
  <c r="O80" i="4" a="1"/>
  <c r="O80" i="4" s="1"/>
  <c r="N80" i="4" a="1"/>
  <c r="N80" i="4" s="1"/>
  <c r="M80" i="4" a="1"/>
  <c r="M80" i="4" s="1"/>
  <c r="L80" i="4" a="1"/>
  <c r="L80" i="4" s="1"/>
  <c r="K80" i="4" a="1"/>
  <c r="K80" i="4" s="1"/>
  <c r="K74" i="4" a="1"/>
  <c r="K74" i="4" s="1"/>
  <c r="J74" i="4" a="1"/>
  <c r="J74" i="4" s="1"/>
  <c r="J69" i="4" a="1"/>
  <c r="J69" i="4" s="1"/>
  <c r="J63" i="4" a="1"/>
  <c r="J63" i="4" s="1"/>
  <c r="I63" i="4" a="1"/>
  <c r="I63" i="4" s="1"/>
  <c r="H63" i="4" a="1"/>
  <c r="H63" i="4" s="1"/>
  <c r="G63" i="4" a="1"/>
  <c r="G63" i="4" s="1"/>
  <c r="F63" i="4" a="1"/>
  <c r="F63" i="4" s="1"/>
  <c r="E63" i="4" a="1"/>
  <c r="E63" i="4" s="1"/>
  <c r="D63" i="4" a="1"/>
  <c r="D63" i="4" s="1"/>
  <c r="AK49" i="4" a="1"/>
  <c r="AK49" i="4" s="1"/>
  <c r="AJ49" i="4" a="1"/>
  <c r="AJ49" i="4" s="1"/>
  <c r="AI49" i="4" a="1"/>
  <c r="AI49" i="4" s="1"/>
  <c r="AH49" i="4" a="1"/>
  <c r="AH49" i="4" s="1"/>
  <c r="AG49" i="4" a="1"/>
  <c r="AG49" i="4" s="1"/>
  <c r="AF49" i="4" a="1"/>
  <c r="AF49" i="4" s="1"/>
  <c r="AE49" i="4" a="1"/>
  <c r="AE49" i="4" s="1"/>
  <c r="AD49" i="4" a="1"/>
  <c r="AD49" i="4" s="1"/>
  <c r="AC49" i="4" a="1"/>
  <c r="AC49" i="4" s="1"/>
  <c r="AB49" i="4" a="1"/>
  <c r="AB49" i="4" s="1"/>
  <c r="AA49" i="4" a="1"/>
  <c r="AA49" i="4" s="1"/>
  <c r="Z49" i="4" a="1"/>
  <c r="Z49" i="4" s="1"/>
  <c r="Y49" i="4" a="1"/>
  <c r="Y49" i="4" s="1"/>
  <c r="X49" i="4" a="1"/>
  <c r="X49" i="4" s="1"/>
  <c r="W49" i="4" a="1"/>
  <c r="W49" i="4" s="1"/>
  <c r="L36" i="4" a="1"/>
  <c r="L36" i="4" s="1"/>
  <c r="K36" i="4" a="1"/>
  <c r="K36" i="4" s="1"/>
  <c r="J36" i="4" a="1"/>
  <c r="J36" i="4" s="1"/>
  <c r="I36" i="4" a="1"/>
  <c r="I36" i="4" s="1"/>
  <c r="H36" i="4" a="1"/>
  <c r="H36" i="4" s="1"/>
  <c r="G36" i="4" a="1"/>
  <c r="G36" i="4" s="1"/>
  <c r="F36" i="4" a="1"/>
  <c r="F36" i="4" s="1"/>
  <c r="E36" i="4" a="1"/>
  <c r="E36" i="4" s="1"/>
  <c r="D36" i="4" a="1"/>
  <c r="D36" i="4" s="1"/>
  <c r="C36" i="4" a="1"/>
  <c r="C36" i="4" s="1"/>
  <c r="B36" i="4" a="1"/>
  <c r="B36" i="4" s="1"/>
  <c r="A36" i="4" a="1"/>
  <c r="A36" i="4" s="1"/>
  <c r="X80" i="4" a="1"/>
  <c r="X80" i="4" s="1"/>
  <c r="W80" i="4" a="1"/>
  <c r="W80" i="4" s="1"/>
  <c r="V80" i="4" a="1"/>
  <c r="V80" i="4" s="1"/>
  <c r="U80" i="4" a="1"/>
  <c r="U80" i="4" s="1"/>
  <c r="T80" i="4" a="1"/>
  <c r="T80" i="4" s="1"/>
  <c r="S80" i="4" a="1"/>
  <c r="S80" i="4" s="1"/>
  <c r="R80" i="4" a="1"/>
  <c r="R80" i="4" s="1"/>
  <c r="I69" i="4" a="1"/>
  <c r="I69" i="4" s="1"/>
  <c r="H69" i="4" a="1"/>
  <c r="H69" i="4" s="1"/>
  <c r="G69" i="4" a="1"/>
  <c r="G69" i="4" s="1"/>
  <c r="F69" i="4" a="1"/>
  <c r="F69" i="4" s="1"/>
  <c r="AD68" i="4" a="1"/>
  <c r="AD68" i="4" s="1"/>
  <c r="AC68" i="4" a="1"/>
  <c r="AC68" i="4" s="1"/>
  <c r="L63" i="4" a="1"/>
  <c r="L63" i="4" s="1"/>
  <c r="K63" i="4" a="1"/>
  <c r="K63" i="4" s="1"/>
  <c r="B58" i="4" a="1"/>
  <c r="B58" i="4" s="1"/>
  <c r="A58" i="4" a="1"/>
  <c r="A58" i="4" s="1"/>
  <c r="AK57" i="4" a="1"/>
  <c r="AK57" i="4" s="1"/>
  <c r="AJ57" i="4" a="1"/>
  <c r="AJ57" i="4" s="1"/>
  <c r="AI57" i="4" a="1"/>
  <c r="AI57" i="4" s="1"/>
  <c r="AH57" i="4" a="1"/>
  <c r="AH57" i="4" s="1"/>
  <c r="AG57" i="4" a="1"/>
  <c r="AG57" i="4" s="1"/>
  <c r="Q37" i="4" a="1"/>
  <c r="Q37" i="4" s="1"/>
  <c r="P37" i="4" a="1"/>
  <c r="P37" i="4" s="1"/>
  <c r="O37" i="4" a="1"/>
  <c r="O37" i="4" s="1"/>
  <c r="N37" i="4" a="1"/>
  <c r="N37" i="4" s="1"/>
  <c r="M37" i="4" a="1"/>
  <c r="M37" i="4" s="1"/>
  <c r="L37" i="4" a="1"/>
  <c r="L37" i="4" s="1"/>
  <c r="K37" i="4" a="1"/>
  <c r="K37" i="4" s="1"/>
  <c r="J37" i="4" a="1"/>
  <c r="J37" i="4" s="1"/>
  <c r="I37" i="4" a="1"/>
  <c r="I37" i="4" s="1"/>
  <c r="E69" i="4" a="1"/>
  <c r="E69" i="4" s="1"/>
  <c r="D69" i="4" a="1"/>
  <c r="D69" i="4" s="1"/>
  <c r="C69" i="4" a="1"/>
  <c r="C69" i="4" s="1"/>
  <c r="B69" i="4" a="1"/>
  <c r="B69" i="4" s="1"/>
  <c r="A69" i="4" a="1"/>
  <c r="A69" i="4" s="1"/>
  <c r="AK68" i="4" a="1"/>
  <c r="AK68" i="4" s="1"/>
  <c r="AJ68" i="4" a="1"/>
  <c r="AJ68" i="4" s="1"/>
  <c r="AI68" i="4" a="1"/>
  <c r="AI68" i="4" s="1"/>
  <c r="AH68" i="4" a="1"/>
  <c r="AH68" i="4" s="1"/>
  <c r="AG68" i="4" a="1"/>
  <c r="AG68" i="4" s="1"/>
  <c r="AF68" i="4" a="1"/>
  <c r="AF68" i="4" s="1"/>
  <c r="AE68" i="4" a="1"/>
  <c r="AE68" i="4" s="1"/>
  <c r="AG50" i="4" a="1"/>
  <c r="AG50" i="4" s="1"/>
  <c r="AF50" i="4" a="1"/>
  <c r="AF50" i="4" s="1"/>
  <c r="AE50" i="4" a="1"/>
  <c r="AE50" i="4" s="1"/>
  <c r="AD50" i="4" a="1"/>
  <c r="AD50" i="4" s="1"/>
  <c r="AC50" i="4" a="1"/>
  <c r="AC50" i="4" s="1"/>
  <c r="AB50" i="4" a="1"/>
  <c r="AB50" i="4" s="1"/>
  <c r="AA50" i="4" a="1"/>
  <c r="AA50" i="4" s="1"/>
  <c r="Z50" i="4" a="1"/>
  <c r="Z50" i="4" s="1"/>
  <c r="Y50" i="4" a="1"/>
  <c r="Y50" i="4" s="1"/>
  <c r="X50" i="4" a="1"/>
  <c r="X50" i="4" s="1"/>
  <c r="W50" i="4" a="1"/>
  <c r="W50" i="4" s="1"/>
  <c r="V50" i="4" a="1"/>
  <c r="V50" i="4" s="1"/>
  <c r="U50" i="4" a="1"/>
  <c r="U50" i="4" s="1"/>
  <c r="T50" i="4" a="1"/>
  <c r="T50" i="4" s="1"/>
  <c r="S50" i="4" a="1"/>
  <c r="S50" i="4" s="1"/>
  <c r="R50" i="4" a="1"/>
  <c r="R50" i="4" s="1"/>
  <c r="Q50" i="4" a="1"/>
  <c r="Q50" i="4" s="1"/>
  <c r="P50" i="4" a="1"/>
  <c r="P50" i="4" s="1"/>
  <c r="O50" i="4" a="1"/>
  <c r="O50" i="4" s="1"/>
  <c r="N50" i="4" a="1"/>
  <c r="N50" i="4" s="1"/>
  <c r="M50" i="4" a="1"/>
  <c r="M50" i="4" s="1"/>
  <c r="L50" i="4" a="1"/>
  <c r="L50" i="4" s="1"/>
  <c r="K50" i="4" a="1"/>
  <c r="K50" i="4" s="1"/>
  <c r="J50" i="4" a="1"/>
  <c r="J50" i="4" s="1"/>
  <c r="I50" i="4" a="1"/>
  <c r="I50" i="4" s="1"/>
  <c r="H50" i="4" a="1"/>
  <c r="H50" i="4" s="1"/>
  <c r="G50" i="4" a="1"/>
  <c r="G50" i="4" s="1"/>
  <c r="F50" i="4" a="1"/>
  <c r="F50" i="4" s="1"/>
  <c r="E50" i="4" a="1"/>
  <c r="E50" i="4" s="1"/>
  <c r="D50" i="4" a="1"/>
  <c r="D50" i="4" s="1"/>
  <c r="C50" i="4" a="1"/>
  <c r="C50" i="4" s="1"/>
  <c r="B50" i="4" a="1"/>
  <c r="B50" i="4" s="1"/>
  <c r="Q38" i="4" a="1"/>
  <c r="Q38" i="4" s="1"/>
  <c r="P38" i="4" a="1"/>
  <c r="P38" i="4" s="1"/>
  <c r="O38" i="4" a="1"/>
  <c r="O38" i="4" s="1"/>
  <c r="N38" i="4" a="1"/>
  <c r="N38" i="4" s="1"/>
  <c r="M38" i="4" a="1"/>
  <c r="M38" i="4" s="1"/>
  <c r="L38" i="4" a="1"/>
  <c r="L38" i="4" s="1"/>
  <c r="K38" i="4" a="1"/>
  <c r="K38" i="4" s="1"/>
  <c r="J38" i="4" a="1"/>
  <c r="J38" i="4" s="1"/>
  <c r="I38" i="4" a="1"/>
  <c r="I38" i="4" s="1"/>
  <c r="H38" i="4" a="1"/>
  <c r="H38" i="4" s="1"/>
  <c r="G38" i="4" a="1"/>
  <c r="G38" i="4" s="1"/>
  <c r="F38" i="4" a="1"/>
  <c r="F38" i="4" s="1"/>
  <c r="E38" i="4" a="1"/>
  <c r="E38" i="4" s="1"/>
  <c r="D38" i="4" a="1"/>
  <c r="D38" i="4" s="1"/>
  <c r="C38" i="4" a="1"/>
  <c r="C38" i="4" s="1"/>
  <c r="B38" i="4" a="1"/>
  <c r="B38" i="4" s="1"/>
  <c r="A38" i="4" a="1"/>
  <c r="A38" i="4" s="1"/>
  <c r="AK37" i="4" a="1"/>
  <c r="AK37" i="4" s="1"/>
  <c r="AJ37" i="4" a="1"/>
  <c r="AJ37" i="4" s="1"/>
  <c r="AI37" i="4" a="1"/>
  <c r="AI37" i="4" s="1"/>
  <c r="AH37" i="4" a="1"/>
  <c r="AH37" i="4" s="1"/>
  <c r="AG37" i="4" a="1"/>
  <c r="AG37" i="4" s="1"/>
  <c r="AF37" i="4" a="1"/>
  <c r="AF37" i="4" s="1"/>
  <c r="AE37" i="4" a="1"/>
  <c r="AE37" i="4" s="1"/>
  <c r="AD37" i="4" a="1"/>
  <c r="AD37" i="4" s="1"/>
  <c r="AC37" i="4" a="1"/>
  <c r="AC37" i="4" s="1"/>
  <c r="AB37" i="4" a="1"/>
  <c r="AB37" i="4" s="1"/>
  <c r="AA37" i="4" a="1"/>
  <c r="AA37" i="4" s="1"/>
  <c r="Z37" i="4" a="1"/>
  <c r="Z37" i="4" s="1"/>
  <c r="Y37" i="4" a="1"/>
  <c r="Y37" i="4" s="1"/>
  <c r="X37" i="4" a="1"/>
  <c r="X37" i="4" s="1"/>
  <c r="S27" i="4" a="1"/>
  <c r="S27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A20" i="4" a="1"/>
  <c r="A20" i="4" s="1"/>
  <c r="A19" i="4" a="1"/>
  <c r="A19" i="4" s="1"/>
  <c r="A18" i="4" a="1"/>
  <c r="A18" i="4" s="1"/>
  <c r="A17" i="4" a="1"/>
  <c r="A17" i="4" s="1"/>
  <c r="A16" i="4" a="1"/>
  <c r="A16" i="4" s="1"/>
  <c r="E5" i="4"/>
  <c r="E10" i="4" s="1"/>
  <c r="F5" i="4"/>
  <c r="F10" i="4" s="1"/>
  <c r="G5" i="4"/>
  <c r="G10" i="4" s="1"/>
  <c r="H5" i="4"/>
  <c r="H10" i="4" s="1"/>
  <c r="I5" i="4"/>
  <c r="I10" i="4" s="1"/>
  <c r="J5" i="4"/>
  <c r="J10" i="4" s="1"/>
  <c r="K5" i="4"/>
  <c r="K10" i="4" s="1"/>
  <c r="L5" i="4"/>
  <c r="L10" i="4" s="1"/>
  <c r="M5" i="4"/>
  <c r="M10" i="4" s="1"/>
  <c r="N5" i="4"/>
  <c r="N10" i="4" s="1"/>
  <c r="R5" i="4"/>
  <c r="R10" i="4" s="1"/>
  <c r="S5" i="4"/>
  <c r="S10" i="4" s="1"/>
  <c r="T5" i="4"/>
  <c r="T10" i="4" s="1"/>
  <c r="U5" i="4"/>
  <c r="U10" i="4" s="1"/>
  <c r="V5" i="4"/>
  <c r="V10" i="4" s="1"/>
  <c r="W5" i="4"/>
  <c r="W10" i="4" s="1"/>
  <c r="X5" i="4"/>
  <c r="X10" i="4" s="1"/>
  <c r="Y5" i="4"/>
  <c r="Y10" i="4" s="1"/>
  <c r="Z5" i="4"/>
  <c r="Z10" i="4" s="1"/>
  <c r="AA5" i="4"/>
  <c r="AA10" i="4" s="1"/>
  <c r="AB5" i="4"/>
  <c r="AB10" i="4" s="1"/>
  <c r="AC5" i="4"/>
  <c r="AC10" i="4" s="1"/>
  <c r="AD5" i="4"/>
  <c r="AD10" i="4" s="1"/>
  <c r="AE5" i="4"/>
  <c r="AE10" i="4" s="1"/>
  <c r="AF5" i="4"/>
  <c r="AF10" i="4" s="1"/>
  <c r="D5" i="4"/>
  <c r="D10" i="4" s="1"/>
  <c r="C5" i="4"/>
  <c r="C10" i="4" s="1"/>
  <c r="J80" i="4" a="1"/>
  <c r="J80" i="4" s="1"/>
  <c r="I80" i="4" a="1"/>
  <c r="I80" i="4" s="1"/>
  <c r="H80" i="4" a="1"/>
  <c r="H80" i="4" s="1"/>
  <c r="G80" i="4" a="1"/>
  <c r="G80" i="4" s="1"/>
  <c r="F80" i="4" a="1"/>
  <c r="F80" i="4" s="1"/>
  <c r="E80" i="4" a="1"/>
  <c r="E80" i="4" s="1"/>
  <c r="D80" i="4" a="1"/>
  <c r="D80" i="4" s="1"/>
  <c r="C80" i="4" a="1"/>
  <c r="C80" i="4" s="1"/>
  <c r="B80" i="4" a="1"/>
  <c r="B80" i="4" s="1"/>
  <c r="A80" i="4" a="1"/>
  <c r="A80" i="4" s="1"/>
  <c r="AK79" i="4" a="1"/>
  <c r="AK79" i="4" s="1"/>
  <c r="AJ79" i="4" a="1"/>
  <c r="AJ79" i="4" s="1"/>
  <c r="AI79" i="4" a="1"/>
  <c r="AI79" i="4" s="1"/>
  <c r="AH79" i="4" a="1"/>
  <c r="AH79" i="4" s="1"/>
  <c r="AG79" i="4" a="1"/>
  <c r="AG79" i="4" s="1"/>
  <c r="AF79" i="4" a="1"/>
  <c r="AF79" i="4" s="1"/>
  <c r="AE79" i="4" a="1"/>
  <c r="AE79" i="4" s="1"/>
  <c r="AD79" i="4" a="1"/>
  <c r="AD79" i="4" s="1"/>
  <c r="AC79" i="4" a="1"/>
  <c r="AC79" i="4" s="1"/>
  <c r="AB79" i="4" a="1"/>
  <c r="AB79" i="4" s="1"/>
  <c r="AA79" i="4" a="1"/>
  <c r="AA79" i="4" s="1"/>
  <c r="Z79" i="4" a="1"/>
  <c r="Z79" i="4" s="1"/>
  <c r="Y79" i="4" a="1"/>
  <c r="Y79" i="4" s="1"/>
  <c r="X79" i="4" a="1"/>
  <c r="X79" i="4" s="1"/>
  <c r="W79" i="4" a="1"/>
  <c r="W79" i="4" s="1"/>
  <c r="V79" i="4" a="1"/>
  <c r="V79" i="4" s="1"/>
  <c r="U79" i="4" a="1"/>
  <c r="U79" i="4" s="1"/>
  <c r="AD78" i="4" a="1"/>
  <c r="AD78" i="4" s="1"/>
  <c r="AC78" i="4" a="1"/>
  <c r="AC78" i="4" s="1"/>
  <c r="AB78" i="4" a="1"/>
  <c r="AB78" i="4" s="1"/>
  <c r="AA78" i="4" a="1"/>
  <c r="AA78" i="4" s="1"/>
  <c r="Z78" i="4" a="1"/>
  <c r="Z78" i="4" s="1"/>
  <c r="Y78" i="4" a="1"/>
  <c r="Y78" i="4" s="1"/>
  <c r="X78" i="4" a="1"/>
  <c r="X78" i="4" s="1"/>
  <c r="W78" i="4" a="1"/>
  <c r="W78" i="4" s="1"/>
  <c r="V78" i="4" a="1"/>
  <c r="V78" i="4" s="1"/>
  <c r="U78" i="4" a="1"/>
  <c r="U78" i="4" s="1"/>
  <c r="T78" i="4" a="1"/>
  <c r="T78" i="4" s="1"/>
  <c r="S78" i="4" a="1"/>
  <c r="S78" i="4" s="1"/>
  <c r="R78" i="4" a="1"/>
  <c r="R78" i="4" s="1"/>
  <c r="W76" i="4" a="1"/>
  <c r="W76" i="4" s="1"/>
  <c r="AB68" i="4" a="1"/>
  <c r="AB68" i="4" s="1"/>
  <c r="AA68" i="4" a="1"/>
  <c r="AA68" i="4" s="1"/>
  <c r="Z68" i="4" a="1"/>
  <c r="Z68" i="4" s="1"/>
  <c r="Y68" i="4" a="1"/>
  <c r="Y68" i="4" s="1"/>
  <c r="X68" i="4" a="1"/>
  <c r="X68" i="4" s="1"/>
  <c r="W68" i="4" a="1"/>
  <c r="W68" i="4" s="1"/>
  <c r="V68" i="4" a="1"/>
  <c r="V68" i="4" s="1"/>
  <c r="U68" i="4" a="1"/>
  <c r="U68" i="4" s="1"/>
  <c r="T68" i="4" a="1"/>
  <c r="T68" i="4" s="1"/>
  <c r="S68" i="4" a="1"/>
  <c r="S68" i="4" s="1"/>
  <c r="R68" i="4" a="1"/>
  <c r="R68" i="4" s="1"/>
  <c r="Q68" i="4" a="1"/>
  <c r="Q68" i="4" s="1"/>
  <c r="P68" i="4" a="1"/>
  <c r="P68" i="4" s="1"/>
  <c r="O68" i="4" a="1"/>
  <c r="O68" i="4" s="1"/>
  <c r="N68" i="4" a="1"/>
  <c r="N68" i="4" s="1"/>
  <c r="M68" i="4" a="1"/>
  <c r="M68" i="4" s="1"/>
  <c r="L68" i="4" a="1"/>
  <c r="L68" i="4" s="1"/>
  <c r="K68" i="4" a="1"/>
  <c r="K68" i="4" s="1"/>
  <c r="J68" i="4" a="1"/>
  <c r="J68" i="4" s="1"/>
  <c r="I68" i="4" a="1"/>
  <c r="I68" i="4" s="1"/>
  <c r="H68" i="4" a="1"/>
  <c r="H68" i="4" s="1"/>
  <c r="AF63" i="4" a="1"/>
  <c r="AF63" i="4" s="1"/>
  <c r="AE63" i="4" a="1"/>
  <c r="AE63" i="4" s="1"/>
  <c r="AD63" i="4" a="1"/>
  <c r="AD63" i="4" s="1"/>
  <c r="AC63" i="4" a="1"/>
  <c r="AC63" i="4" s="1"/>
  <c r="AB63" i="4" a="1"/>
  <c r="AB63" i="4" s="1"/>
  <c r="AA63" i="4" a="1"/>
  <c r="AA63" i="4" s="1"/>
  <c r="Z63" i="4" a="1"/>
  <c r="Z63" i="4" s="1"/>
  <c r="Y63" i="4" a="1"/>
  <c r="Y63" i="4" s="1"/>
  <c r="X63" i="4" a="1"/>
  <c r="X63" i="4" s="1"/>
  <c r="W63" i="4" a="1"/>
  <c r="W63" i="4" s="1"/>
  <c r="V63" i="4" a="1"/>
  <c r="V63" i="4" s="1"/>
  <c r="U63" i="4" a="1"/>
  <c r="U63" i="4" s="1"/>
  <c r="T63" i="4" a="1"/>
  <c r="T63" i="4" s="1"/>
  <c r="S63" i="4" a="1"/>
  <c r="S63" i="4" s="1"/>
  <c r="R63" i="4" a="1"/>
  <c r="R63" i="4" s="1"/>
  <c r="Q63" i="4" a="1"/>
  <c r="Q63" i="4" s="1"/>
  <c r="P63" i="4" a="1"/>
  <c r="P63" i="4" s="1"/>
  <c r="O63" i="4" a="1"/>
  <c r="O63" i="4" s="1"/>
  <c r="N63" i="4" a="1"/>
  <c r="N63" i="4" s="1"/>
  <c r="M63" i="4" a="1"/>
  <c r="M63" i="4" s="1"/>
  <c r="AD57" i="4" a="1"/>
  <c r="AD57" i="4" s="1"/>
  <c r="AC57" i="4" a="1"/>
  <c r="AC57" i="4" s="1"/>
  <c r="AB57" i="4" a="1"/>
  <c r="AB57" i="4" s="1"/>
  <c r="AA57" i="4" a="1"/>
  <c r="AA57" i="4" s="1"/>
  <c r="Z57" i="4" a="1"/>
  <c r="Z57" i="4" s="1"/>
  <c r="Y57" i="4" a="1"/>
  <c r="Y57" i="4" s="1"/>
  <c r="X57" i="4" a="1"/>
  <c r="X57" i="4" s="1"/>
  <c r="W57" i="4" a="1"/>
  <c r="W57" i="4" s="1"/>
  <c r="V57" i="4" a="1"/>
  <c r="V57" i="4" s="1"/>
  <c r="U57" i="4" a="1"/>
  <c r="U57" i="4" s="1"/>
  <c r="T57" i="4" a="1"/>
  <c r="T57" i="4" s="1"/>
  <c r="S57" i="4" a="1"/>
  <c r="S57" i="4" s="1"/>
  <c r="R57" i="4" a="1"/>
  <c r="R57" i="4" s="1"/>
  <c r="Q57" i="4" a="1"/>
  <c r="Q57" i="4" s="1"/>
  <c r="P57" i="4" a="1"/>
  <c r="P57" i="4" s="1"/>
  <c r="O57" i="4" a="1"/>
  <c r="O57" i="4" s="1"/>
  <c r="AE51" i="4" a="1"/>
  <c r="AE51" i="4" s="1"/>
  <c r="AD51" i="4" a="1"/>
  <c r="AD51" i="4" s="1"/>
  <c r="AC51" i="4" a="1"/>
  <c r="AC51" i="4" s="1"/>
  <c r="AB51" i="4" a="1"/>
  <c r="AB51" i="4" s="1"/>
  <c r="AA51" i="4" a="1"/>
  <c r="AA51" i="4" s="1"/>
  <c r="Z51" i="4" a="1"/>
  <c r="Z51" i="4" s="1"/>
  <c r="Y51" i="4" a="1"/>
  <c r="Y51" i="4" s="1"/>
  <c r="X51" i="4" a="1"/>
  <c r="X51" i="4" s="1"/>
  <c r="W51" i="4" a="1"/>
  <c r="W51" i="4" s="1"/>
  <c r="V51" i="4" a="1"/>
  <c r="V51" i="4" s="1"/>
  <c r="U51" i="4" a="1"/>
  <c r="U51" i="4" s="1"/>
  <c r="T51" i="4" a="1"/>
  <c r="T51" i="4" s="1"/>
  <c r="S51" i="4" a="1"/>
  <c r="S51" i="4" s="1"/>
  <c r="R51" i="4" a="1"/>
  <c r="R51" i="4" s="1"/>
  <c r="Q51" i="4" a="1"/>
  <c r="Q51" i="4" s="1"/>
  <c r="P51" i="4" a="1"/>
  <c r="P51" i="4" s="1"/>
  <c r="O51" i="4" a="1"/>
  <c r="O51" i="4" s="1"/>
  <c r="N51" i="4" a="1"/>
  <c r="N51" i="4" s="1"/>
  <c r="M51" i="4" a="1"/>
  <c r="M51" i="4" s="1"/>
  <c r="L51" i="4" a="1"/>
  <c r="L51" i="4" s="1"/>
  <c r="K51" i="4" a="1"/>
  <c r="K51" i="4" s="1"/>
  <c r="J51" i="4" a="1"/>
  <c r="J51" i="4" s="1"/>
  <c r="I51" i="4" a="1"/>
  <c r="I51" i="4" s="1"/>
  <c r="H51" i="4" a="1"/>
  <c r="H51" i="4" s="1"/>
  <c r="G51" i="4" a="1"/>
  <c r="G51" i="4" s="1"/>
  <c r="F51" i="4" a="1"/>
  <c r="F51" i="4" s="1"/>
  <c r="E51" i="4" a="1"/>
  <c r="E51" i="4" s="1"/>
  <c r="D51" i="4" a="1"/>
  <c r="D51" i="4" s="1"/>
  <c r="C51" i="4" a="1"/>
  <c r="C51" i="4" s="1"/>
  <c r="B51" i="4" a="1"/>
  <c r="B51" i="4" s="1"/>
  <c r="A51" i="4" a="1"/>
  <c r="A51" i="4" s="1"/>
  <c r="AK50" i="4" a="1"/>
  <c r="AK50" i="4" s="1"/>
  <c r="AJ50" i="4" a="1"/>
  <c r="AJ50" i="4" s="1"/>
  <c r="AI50" i="4" a="1"/>
  <c r="AI50" i="4" s="1"/>
  <c r="AH50" i="4" a="1"/>
  <c r="AH50" i="4" s="1"/>
  <c r="N40" i="4" a="1"/>
  <c r="N40" i="4" s="1"/>
  <c r="M40" i="4" a="1"/>
  <c r="M40" i="4" s="1"/>
  <c r="L40" i="4" a="1"/>
  <c r="L40" i="4" s="1"/>
  <c r="K40" i="4" a="1"/>
  <c r="K40" i="4" s="1"/>
  <c r="J40" i="4" a="1"/>
  <c r="J40" i="4" s="1"/>
  <c r="I40" i="4" a="1"/>
  <c r="I40" i="4" s="1"/>
  <c r="H40" i="4" a="1"/>
  <c r="H40" i="4" s="1"/>
  <c r="G40" i="4" a="1"/>
  <c r="G40" i="4" s="1"/>
  <c r="F40" i="4" a="1"/>
  <c r="F40" i="4" s="1"/>
  <c r="E40" i="4" a="1"/>
  <c r="E40" i="4" s="1"/>
  <c r="D40" i="4" a="1"/>
  <c r="D40" i="4" s="1"/>
  <c r="C40" i="4" a="1"/>
  <c r="C40" i="4" s="1"/>
  <c r="B40" i="4" a="1"/>
  <c r="B40" i="4" s="1"/>
  <c r="A40" i="4" a="1"/>
  <c r="A40" i="4" s="1"/>
  <c r="AK39" i="4" a="1"/>
  <c r="AK39" i="4" s="1"/>
  <c r="AJ39" i="4" a="1"/>
  <c r="AJ39" i="4" s="1"/>
  <c r="AI39" i="4" a="1"/>
  <c r="AI39" i="4" s="1"/>
  <c r="AH39" i="4" a="1"/>
  <c r="AH39" i="4" s="1"/>
  <c r="AG39" i="4" a="1"/>
  <c r="AG39" i="4" s="1"/>
  <c r="AF39" i="4" a="1"/>
  <c r="AF39" i="4" s="1"/>
  <c r="AE39" i="4" a="1"/>
  <c r="AE39" i="4" s="1"/>
  <c r="AD39" i="4" a="1"/>
  <c r="AD39" i="4" s="1"/>
  <c r="AC39" i="4" a="1"/>
  <c r="AC39" i="4" s="1"/>
  <c r="AB39" i="4" a="1"/>
  <c r="AB39" i="4" s="1"/>
  <c r="AA39" i="4" a="1"/>
  <c r="AA39" i="4" s="1"/>
  <c r="Z39" i="4" a="1"/>
  <c r="Z39" i="4" s="1"/>
  <c r="Y39" i="4" a="1"/>
  <c r="Y39" i="4" s="1"/>
  <c r="X39" i="4" a="1"/>
  <c r="X39" i="4" s="1"/>
  <c r="W39" i="4" a="1"/>
  <c r="W39" i="4" s="1"/>
  <c r="V39" i="4" a="1"/>
  <c r="V39" i="4" s="1"/>
  <c r="U39" i="4" a="1"/>
  <c r="U39" i="4" s="1"/>
  <c r="T39" i="4" a="1"/>
  <c r="T39" i="4" s="1"/>
  <c r="S39" i="4" a="1"/>
  <c r="S39" i="4" s="1"/>
  <c r="R39" i="4" a="1"/>
  <c r="R39" i="4" s="1"/>
  <c r="Q39" i="4" a="1"/>
  <c r="Q39" i="4" s="1"/>
  <c r="P39" i="4" a="1"/>
  <c r="P39" i="4" s="1"/>
  <c r="O39" i="4" a="1"/>
  <c r="O39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I39" i="4" a="1"/>
  <c r="I39" i="4" s="1"/>
  <c r="H39" i="4" a="1"/>
  <c r="H39" i="4" s="1"/>
  <c r="G39" i="4" a="1"/>
  <c r="G39" i="4" s="1"/>
  <c r="F39" i="4" a="1"/>
  <c r="F39" i="4" s="1"/>
  <c r="E39" i="4" a="1"/>
  <c r="E39" i="4" s="1"/>
  <c r="D39" i="4" a="1"/>
  <c r="D39" i="4" s="1"/>
  <c r="AB29" i="4" a="1"/>
  <c r="AB29" i="4" s="1"/>
  <c r="AA29" i="4" a="1"/>
  <c r="AA29" i="4" s="1"/>
  <c r="Z29" i="4" a="1"/>
  <c r="Z29" i="4" s="1"/>
  <c r="Y29" i="4" a="1"/>
  <c r="Y29" i="4" s="1"/>
  <c r="X29" i="4" a="1"/>
  <c r="X29" i="4" s="1"/>
  <c r="W29" i="4" a="1"/>
  <c r="W29" i="4" s="1"/>
  <c r="V29" i="4" a="1"/>
  <c r="V29" i="4" s="1"/>
  <c r="U29" i="4" a="1"/>
  <c r="U29" i="4" s="1"/>
  <c r="T29" i="4" a="1"/>
  <c r="T29" i="4" s="1"/>
  <c r="S29" i="4" a="1"/>
  <c r="S29" i="4" s="1"/>
  <c r="R29" i="4" a="1"/>
  <c r="R29" i="4" s="1"/>
  <c r="Q29" i="4" a="1"/>
  <c r="Q29" i="4" s="1"/>
  <c r="P29" i="4" a="1"/>
  <c r="P29" i="4" s="1"/>
  <c r="O29" i="4" a="1"/>
  <c r="O29" i="4" s="1"/>
  <c r="N29" i="4" a="1"/>
  <c r="N29" i="4" s="1"/>
  <c r="M29" i="4" a="1"/>
  <c r="M29" i="4" s="1"/>
  <c r="L29" i="4" a="1"/>
  <c r="L29" i="4" s="1"/>
  <c r="K29" i="4" a="1"/>
  <c r="K29" i="4" s="1"/>
  <c r="J29" i="4" a="1"/>
  <c r="J29" i="4" s="1"/>
  <c r="I29" i="4" a="1"/>
  <c r="I29" i="4" s="1"/>
  <c r="H29" i="4" a="1"/>
  <c r="H29" i="4" s="1"/>
  <c r="G29" i="4" a="1"/>
  <c r="G29" i="4" s="1"/>
  <c r="F29" i="4" a="1"/>
  <c r="F29" i="4" s="1"/>
  <c r="E29" i="4" a="1"/>
  <c r="E29" i="4" s="1"/>
  <c r="D29" i="4" a="1"/>
  <c r="D29" i="4" s="1"/>
  <c r="C29" i="4" a="1"/>
  <c r="C29" i="4" s="1"/>
  <c r="B29" i="4" a="1"/>
  <c r="B29" i="4" s="1"/>
  <c r="A29" i="4" a="1"/>
  <c r="A29" i="4" s="1"/>
  <c r="AK28" i="4" a="1"/>
  <c r="AK28" i="4" s="1"/>
  <c r="AJ28" i="4" a="1"/>
  <c r="AJ28" i="4" s="1"/>
  <c r="AI28" i="4" a="1"/>
  <c r="AI28" i="4" s="1"/>
  <c r="AH28" i="4" a="1"/>
  <c r="AH28" i="4" s="1"/>
  <c r="AG28" i="4" a="1"/>
  <c r="AG28" i="4" s="1"/>
  <c r="AF28" i="4" a="1"/>
  <c r="AF28" i="4" s="1"/>
  <c r="AE28" i="4" a="1"/>
  <c r="AE28" i="4" s="1"/>
  <c r="AD28" i="4" a="1"/>
  <c r="AD28" i="4" s="1"/>
  <c r="AC28" i="4" a="1"/>
  <c r="AC28" i="4" s="1"/>
  <c r="AB28" i="4" a="1"/>
  <c r="AB28" i="4" s="1"/>
  <c r="AA28" i="4" a="1"/>
  <c r="AA28" i="4" s="1"/>
  <c r="T79" i="4" a="1"/>
  <c r="T79" i="4" s="1"/>
  <c r="S79" i="4" a="1"/>
  <c r="S79" i="4" s="1"/>
  <c r="R79" i="4" a="1"/>
  <c r="R79" i="4" s="1"/>
  <c r="Q79" i="4" a="1"/>
  <c r="Q79" i="4" s="1"/>
  <c r="P79" i="4" a="1"/>
  <c r="P79" i="4" s="1"/>
  <c r="O79" i="4" a="1"/>
  <c r="O79" i="4" s="1"/>
  <c r="N79" i="4" a="1"/>
  <c r="N79" i="4" s="1"/>
  <c r="M79" i="4" a="1"/>
  <c r="M79" i="4" s="1"/>
  <c r="L79" i="4" a="1"/>
  <c r="L79" i="4" s="1"/>
  <c r="K79" i="4" a="1"/>
  <c r="K79" i="4" s="1"/>
  <c r="J79" i="4" a="1"/>
  <c r="J79" i="4" s="1"/>
  <c r="AK78" i="4" a="1"/>
  <c r="AK78" i="4" s="1"/>
  <c r="AJ78" i="4" a="1"/>
  <c r="AJ78" i="4" s="1"/>
  <c r="AI78" i="4" a="1"/>
  <c r="AI78" i="4" s="1"/>
  <c r="AH78" i="4" a="1"/>
  <c r="AH78" i="4" s="1"/>
  <c r="AG78" i="4" a="1"/>
  <c r="AG78" i="4" s="1"/>
  <c r="AF78" i="4" a="1"/>
  <c r="AF78" i="4" s="1"/>
  <c r="AE78" i="4" a="1"/>
  <c r="AE78" i="4" s="1"/>
  <c r="G68" i="4" a="1"/>
  <c r="G68" i="4" s="1"/>
  <c r="F68" i="4" a="1"/>
  <c r="F68" i="4" s="1"/>
  <c r="E68" i="4" a="1"/>
  <c r="E68" i="4" s="1"/>
  <c r="D68" i="4" a="1"/>
  <c r="D68" i="4" s="1"/>
  <c r="C68" i="4" a="1"/>
  <c r="C68" i="4" s="1"/>
  <c r="B68" i="4" a="1"/>
  <c r="B68" i="4" s="1"/>
  <c r="A68" i="4" a="1"/>
  <c r="A68" i="4" s="1"/>
  <c r="AK67" i="4" a="1"/>
  <c r="AK67" i="4" s="1"/>
  <c r="AJ67" i="4" a="1"/>
  <c r="AJ67" i="4" s="1"/>
  <c r="AI67" i="4" a="1"/>
  <c r="AI67" i="4" s="1"/>
  <c r="AH67" i="4" a="1"/>
  <c r="AH67" i="4" s="1"/>
  <c r="AG67" i="4" a="1"/>
  <c r="AG67" i="4" s="1"/>
  <c r="A64" i="4" a="1"/>
  <c r="A64" i="4" s="1"/>
  <c r="AK63" i="4" a="1"/>
  <c r="AK63" i="4" s="1"/>
  <c r="AJ63" i="4" a="1"/>
  <c r="AJ63" i="4" s="1"/>
  <c r="AI63" i="4" a="1"/>
  <c r="AI63" i="4" s="1"/>
  <c r="AH63" i="4" a="1"/>
  <c r="AH63" i="4" s="1"/>
  <c r="AG63" i="4" a="1"/>
  <c r="AG63" i="4" s="1"/>
  <c r="N57" i="4" a="1"/>
  <c r="N57" i="4" s="1"/>
  <c r="M57" i="4" a="1"/>
  <c r="M57" i="4" s="1"/>
  <c r="E53" i="4" a="1"/>
  <c r="E53" i="4" s="1"/>
  <c r="D53" i="4" a="1"/>
  <c r="D53" i="4" s="1"/>
  <c r="C53" i="4" a="1"/>
  <c r="C53" i="4" s="1"/>
  <c r="B53" i="4" a="1"/>
  <c r="B53" i="4" s="1"/>
  <c r="A53" i="4" a="1"/>
  <c r="A53" i="4" s="1"/>
  <c r="AK52" i="4" a="1"/>
  <c r="AK52" i="4" s="1"/>
  <c r="AJ52" i="4" a="1"/>
  <c r="AJ52" i="4" s="1"/>
  <c r="AI52" i="4" a="1"/>
  <c r="AI52" i="4" s="1"/>
  <c r="AH52" i="4" a="1"/>
  <c r="AH52" i="4" s="1"/>
  <c r="AG52" i="4" a="1"/>
  <c r="AG52" i="4" s="1"/>
  <c r="AF52" i="4" a="1"/>
  <c r="AF52" i="4" s="1"/>
  <c r="I52" i="4" a="1"/>
  <c r="I52" i="4" s="1"/>
  <c r="H52" i="4" a="1"/>
  <c r="H52" i="4" s="1"/>
  <c r="G52" i="4" a="1"/>
  <c r="G52" i="4" s="1"/>
  <c r="F52" i="4" a="1"/>
  <c r="F52" i="4" s="1"/>
  <c r="E52" i="4" a="1"/>
  <c r="E52" i="4" s="1"/>
  <c r="D52" i="4" a="1"/>
  <c r="D52" i="4" s="1"/>
  <c r="C52" i="4" a="1"/>
  <c r="C52" i="4" s="1"/>
  <c r="B52" i="4" a="1"/>
  <c r="B52" i="4" s="1"/>
  <c r="A52" i="4" a="1"/>
  <c r="A52" i="4" s="1"/>
  <c r="AK51" i="4" a="1"/>
  <c r="AK51" i="4" s="1"/>
  <c r="AJ51" i="4" a="1"/>
  <c r="AJ51" i="4" s="1"/>
  <c r="AI51" i="4" a="1"/>
  <c r="AI51" i="4" s="1"/>
  <c r="AH51" i="4" a="1"/>
  <c r="AH51" i="4" s="1"/>
  <c r="AG51" i="4" a="1"/>
  <c r="AG51" i="4" s="1"/>
  <c r="AF51" i="4" a="1"/>
  <c r="AF51" i="4" s="1"/>
  <c r="AA41" i="4" a="1"/>
  <c r="AA41" i="4" s="1"/>
  <c r="Z41" i="4" a="1"/>
  <c r="Z41" i="4" s="1"/>
  <c r="D41" i="4" a="1"/>
  <c r="D41" i="4" s="1"/>
  <c r="C41" i="4" a="1"/>
  <c r="C41" i="4" s="1"/>
  <c r="B41" i="4" a="1"/>
  <c r="B41" i="4" s="1"/>
  <c r="A41" i="4" a="1"/>
  <c r="A41" i="4" s="1"/>
  <c r="AK40" i="4" a="1"/>
  <c r="AK40" i="4" s="1"/>
  <c r="AJ40" i="4" a="1"/>
  <c r="AJ40" i="4" s="1"/>
  <c r="AI40" i="4" a="1"/>
  <c r="AI40" i="4" s="1"/>
  <c r="AH40" i="4" a="1"/>
  <c r="AH40" i="4" s="1"/>
  <c r="AG40" i="4" a="1"/>
  <c r="AG40" i="4" s="1"/>
  <c r="AF40" i="4" a="1"/>
  <c r="AF40" i="4" s="1"/>
  <c r="AE40" i="4" a="1"/>
  <c r="AE40" i="4" s="1"/>
  <c r="AD40" i="4" a="1"/>
  <c r="AD40" i="4" s="1"/>
  <c r="AC40" i="4" a="1"/>
  <c r="AC40" i="4" s="1"/>
  <c r="AB40" i="4" a="1"/>
  <c r="AB40" i="4" s="1"/>
  <c r="AA40" i="4" a="1"/>
  <c r="AA40" i="4" s="1"/>
  <c r="Z40" i="4" a="1"/>
  <c r="Z40" i="4" s="1"/>
  <c r="Y40" i="4" a="1"/>
  <c r="Y40" i="4" s="1"/>
  <c r="X40" i="4" a="1"/>
  <c r="X40" i="4" s="1"/>
  <c r="W40" i="4" a="1"/>
  <c r="W40" i="4" s="1"/>
  <c r="V40" i="4" a="1"/>
  <c r="V40" i="4" s="1"/>
  <c r="U40" i="4" a="1"/>
  <c r="U40" i="4" s="1"/>
  <c r="T40" i="4" a="1"/>
  <c r="T40" i="4" s="1"/>
  <c r="S40" i="4" a="1"/>
  <c r="S40" i="4" s="1"/>
  <c r="R40" i="4" a="1"/>
  <c r="R40" i="4" s="1"/>
  <c r="Q40" i="4" a="1"/>
  <c r="Q40" i="4" s="1"/>
  <c r="P40" i="4" a="1"/>
  <c r="P40" i="4" s="1"/>
  <c r="O40" i="4" a="1"/>
  <c r="O40" i="4" s="1"/>
  <c r="AC30" i="4" a="1"/>
  <c r="AC30" i="4" s="1"/>
  <c r="AB30" i="4" a="1"/>
  <c r="AB30" i="4" s="1"/>
  <c r="AA30" i="4" a="1"/>
  <c r="AA30" i="4" s="1"/>
  <c r="Z30" i="4" a="1"/>
  <c r="Z30" i="4" s="1"/>
  <c r="Y30" i="4" a="1"/>
  <c r="Y30" i="4" s="1"/>
  <c r="X30" i="4" a="1"/>
  <c r="X30" i="4" s="1"/>
  <c r="W30" i="4" a="1"/>
  <c r="W30" i="4" s="1"/>
  <c r="V30" i="4" a="1"/>
  <c r="V30" i="4" s="1"/>
  <c r="U30" i="4" a="1"/>
  <c r="U30" i="4" s="1"/>
  <c r="T30" i="4" a="1"/>
  <c r="T30" i="4" s="1"/>
  <c r="S30" i="4" a="1"/>
  <c r="S30" i="4" s="1"/>
  <c r="R30" i="4" a="1"/>
  <c r="R30" i="4" s="1"/>
  <c r="Q30" i="4" a="1"/>
  <c r="Q30" i="4" s="1"/>
  <c r="P30" i="4" a="1"/>
  <c r="P30" i="4" s="1"/>
  <c r="O30" i="4" a="1"/>
  <c r="O30" i="4" s="1"/>
  <c r="N30" i="4" a="1"/>
  <c r="N30" i="4" s="1"/>
  <c r="M30" i="4" a="1"/>
  <c r="M30" i="4" s="1"/>
  <c r="L30" i="4" a="1"/>
  <c r="L30" i="4" s="1"/>
  <c r="K30" i="4" a="1"/>
  <c r="K30" i="4" s="1"/>
  <c r="J30" i="4" a="1"/>
  <c r="J30" i="4" s="1"/>
  <c r="I30" i="4" a="1"/>
  <c r="I30" i="4" s="1"/>
  <c r="H30" i="4" a="1"/>
  <c r="H30" i="4" s="1"/>
  <c r="H79" i="4" a="1"/>
  <c r="H79" i="4" s="1"/>
  <c r="G79" i="4" a="1"/>
  <c r="G79" i="4" s="1"/>
  <c r="F79" i="4" a="1"/>
  <c r="F79" i="4" s="1"/>
  <c r="E79" i="4" a="1"/>
  <c r="E79" i="4" s="1"/>
  <c r="D79" i="4" a="1"/>
  <c r="D79" i="4" s="1"/>
  <c r="C79" i="4" a="1"/>
  <c r="C79" i="4" s="1"/>
  <c r="B79" i="4" a="1"/>
  <c r="B79" i="4" s="1"/>
  <c r="A79" i="4" a="1"/>
  <c r="A79" i="4" s="1"/>
  <c r="AF67" i="4" a="1"/>
  <c r="AF67" i="4" s="1"/>
  <c r="AE67" i="4" a="1"/>
  <c r="AE67" i="4" s="1"/>
  <c r="AD67" i="4" a="1"/>
  <c r="AD67" i="4" s="1"/>
  <c r="AC67" i="4" a="1"/>
  <c r="AC67" i="4" s="1"/>
  <c r="AB67" i="4" a="1"/>
  <c r="AB67" i="4" s="1"/>
  <c r="AA67" i="4" a="1"/>
  <c r="AA67" i="4" s="1"/>
  <c r="Z67" i="4" a="1"/>
  <c r="Z67" i="4" s="1"/>
  <c r="Y67" i="4" a="1"/>
  <c r="Y67" i="4" s="1"/>
  <c r="B64" i="4" a="1"/>
  <c r="B64" i="4" s="1"/>
  <c r="AE52" i="4" a="1"/>
  <c r="AE52" i="4" s="1"/>
  <c r="AD52" i="4" a="1"/>
  <c r="AD52" i="4" s="1"/>
  <c r="AC52" i="4" a="1"/>
  <c r="AC52" i="4" s="1"/>
  <c r="AB52" i="4" a="1"/>
  <c r="AB52" i="4" s="1"/>
  <c r="AA52" i="4" a="1"/>
  <c r="AA52" i="4" s="1"/>
  <c r="Z52" i="4" a="1"/>
  <c r="Z52" i="4" s="1"/>
  <c r="Y52" i="4" a="1"/>
  <c r="Y52" i="4" s="1"/>
  <c r="X52" i="4" a="1"/>
  <c r="X52" i="4" s="1"/>
  <c r="W52" i="4" a="1"/>
  <c r="W52" i="4" s="1"/>
  <c r="V52" i="4" a="1"/>
  <c r="V52" i="4" s="1"/>
  <c r="U52" i="4" a="1"/>
  <c r="U52" i="4" s="1"/>
  <c r="T52" i="4" a="1"/>
  <c r="T52" i="4" s="1"/>
  <c r="S52" i="4" a="1"/>
  <c r="S52" i="4" s="1"/>
  <c r="R52" i="4" a="1"/>
  <c r="R52" i="4" s="1"/>
  <c r="Q52" i="4" a="1"/>
  <c r="Q52" i="4" s="1"/>
  <c r="P52" i="4" a="1"/>
  <c r="P52" i="4" s="1"/>
  <c r="O52" i="4" a="1"/>
  <c r="O52" i="4" s="1"/>
  <c r="N52" i="4" a="1"/>
  <c r="N52" i="4" s="1"/>
  <c r="M52" i="4" a="1"/>
  <c r="M52" i="4" s="1"/>
  <c r="L52" i="4" a="1"/>
  <c r="L52" i="4" s="1"/>
  <c r="K52" i="4" a="1"/>
  <c r="K52" i="4" s="1"/>
  <c r="J52" i="4" a="1"/>
  <c r="J52" i="4" s="1"/>
  <c r="Y41" i="4" a="1"/>
  <c r="Y41" i="4" s="1"/>
  <c r="X41" i="4" a="1"/>
  <c r="X41" i="4" s="1"/>
  <c r="W41" i="4" a="1"/>
  <c r="W41" i="4" s="1"/>
  <c r="V41" i="4" a="1"/>
  <c r="V41" i="4" s="1"/>
  <c r="U41" i="4" a="1"/>
  <c r="U41" i="4" s="1"/>
  <c r="T41" i="4" a="1"/>
  <c r="T41" i="4" s="1"/>
  <c r="S41" i="4" a="1"/>
  <c r="S41" i="4" s="1"/>
  <c r="R41" i="4" a="1"/>
  <c r="R41" i="4" s="1"/>
  <c r="Q41" i="4" a="1"/>
  <c r="Q41" i="4" s="1"/>
  <c r="P41" i="4" a="1"/>
  <c r="P41" i="4" s="1"/>
  <c r="O41" i="4" a="1"/>
  <c r="O41" i="4" s="1"/>
  <c r="N41" i="4" a="1"/>
  <c r="N41" i="4" s="1"/>
  <c r="M41" i="4" a="1"/>
  <c r="M41" i="4" s="1"/>
  <c r="L41" i="4" a="1"/>
  <c r="L41" i="4" s="1"/>
  <c r="K41" i="4" a="1"/>
  <c r="K41" i="4" s="1"/>
  <c r="J41" i="4" a="1"/>
  <c r="J41" i="4" s="1"/>
  <c r="I41" i="4" a="1"/>
  <c r="I41" i="4" s="1"/>
  <c r="H41" i="4" a="1"/>
  <c r="H41" i="4" s="1"/>
  <c r="G41" i="4" a="1"/>
  <c r="G41" i="4" s="1"/>
  <c r="F41" i="4" a="1"/>
  <c r="F41" i="4" s="1"/>
  <c r="E41" i="4" a="1"/>
  <c r="E41" i="4" s="1"/>
  <c r="V31" i="4" a="1"/>
  <c r="V31" i="4" s="1"/>
  <c r="I79" i="4" a="1"/>
  <c r="I79" i="4" s="1"/>
  <c r="T31" i="4" a="1"/>
  <c r="T31" i="4" s="1"/>
  <c r="S31" i="4" a="1"/>
  <c r="S31" i="4" s="1"/>
  <c r="R31" i="4" a="1"/>
  <c r="R31" i="4" s="1"/>
  <c r="Q31" i="4" a="1"/>
  <c r="Q31" i="4" s="1"/>
  <c r="P31" i="4" a="1"/>
  <c r="P31" i="4" s="1"/>
  <c r="O31" i="4" a="1"/>
  <c r="O31" i="4" s="1"/>
  <c r="N31" i="4" a="1"/>
  <c r="N31" i="4" s="1"/>
  <c r="M31" i="4" a="1"/>
  <c r="M31" i="4" s="1"/>
  <c r="L31" i="4" a="1"/>
  <c r="L31" i="4" s="1"/>
  <c r="U31" i="4" a="1"/>
  <c r="U31" i="4" s="1"/>
  <c r="J31" i="4" a="1"/>
  <c r="J31" i="4" s="1"/>
  <c r="I31" i="4" a="1"/>
  <c r="I31" i="4" s="1"/>
  <c r="H31" i="4" a="1"/>
  <c r="H31" i="4" s="1"/>
  <c r="G31" i="4" a="1"/>
  <c r="G31" i="4" s="1"/>
  <c r="F31" i="4" a="1"/>
  <c r="F31" i="4" s="1"/>
  <c r="E31" i="4" a="1"/>
  <c r="E31" i="4" s="1"/>
  <c r="D31" i="4" a="1"/>
  <c r="D31" i="4" s="1"/>
  <c r="C31" i="4" a="1"/>
  <c r="C31" i="4" s="1"/>
  <c r="B31" i="4" a="1"/>
  <c r="B31" i="4" s="1"/>
  <c r="K31" i="4" a="1"/>
  <c r="K31" i="4" s="1"/>
  <c r="I77" i="4" a="1"/>
  <c r="I77" i="4" s="1"/>
  <c r="Q78" i="4" a="1"/>
  <c r="Q78" i="4" s="1"/>
  <c r="P78" i="4" a="1"/>
  <c r="P78" i="4" s="1"/>
  <c r="O78" i="4" a="1"/>
  <c r="O78" i="4" s="1"/>
  <c r="N78" i="4" a="1"/>
  <c r="N78" i="4" s="1"/>
  <c r="M78" i="4" a="1"/>
  <c r="M78" i="4" s="1"/>
  <c r="L78" i="4" a="1"/>
  <c r="L78" i="4" s="1"/>
  <c r="K78" i="4" a="1"/>
  <c r="K78" i="4" s="1"/>
  <c r="J78" i="4" a="1"/>
  <c r="J78" i="4" s="1"/>
  <c r="I78" i="4" a="1"/>
  <c r="I78" i="4" s="1"/>
  <c r="H78" i="4" a="1"/>
  <c r="H78" i="4" s="1"/>
  <c r="G78" i="4" a="1"/>
  <c r="G78" i="4" s="1"/>
  <c r="F78" i="4" a="1"/>
  <c r="F78" i="4" s="1"/>
  <c r="E78" i="4" a="1"/>
  <c r="E78" i="4" s="1"/>
  <c r="D78" i="4" a="1"/>
  <c r="D78" i="4" s="1"/>
  <c r="W77" i="4" a="1"/>
  <c r="W77" i="4" s="1"/>
  <c r="V77" i="4" a="1"/>
  <c r="V77" i="4" s="1"/>
  <c r="U77" i="4" a="1"/>
  <c r="U77" i="4" s="1"/>
  <c r="T77" i="4" a="1"/>
  <c r="T77" i="4" s="1"/>
  <c r="S77" i="4" a="1"/>
  <c r="S77" i="4" s="1"/>
  <c r="R77" i="4" a="1"/>
  <c r="R77" i="4" s="1"/>
  <c r="Q77" i="4" a="1"/>
  <c r="Q77" i="4" s="1"/>
  <c r="P77" i="4" a="1"/>
  <c r="P77" i="4" s="1"/>
  <c r="O77" i="4" a="1"/>
  <c r="O77" i="4" s="1"/>
  <c r="N77" i="4" a="1"/>
  <c r="N77" i="4" s="1"/>
  <c r="M77" i="4" a="1"/>
  <c r="M77" i="4" s="1"/>
  <c r="L77" i="4" a="1"/>
  <c r="L77" i="4" s="1"/>
  <c r="K77" i="4" a="1"/>
  <c r="K77" i="4" s="1"/>
  <c r="J77" i="4" a="1"/>
  <c r="J77" i="4" s="1"/>
  <c r="Q67" i="4" a="1"/>
  <c r="Q67" i="4" s="1"/>
  <c r="H77" i="4" a="1"/>
  <c r="H77" i="4" s="1"/>
  <c r="G77" i="4" a="1"/>
  <c r="G77" i="4" s="1"/>
  <c r="F77" i="4" a="1"/>
  <c r="F77" i="4" s="1"/>
  <c r="E77" i="4" a="1"/>
  <c r="E77" i="4" s="1"/>
  <c r="D77" i="4" a="1"/>
  <c r="D77" i="4" s="1"/>
  <c r="C77" i="4" a="1"/>
  <c r="C77" i="4" s="1"/>
  <c r="A77" i="4" a="1"/>
  <c r="A77" i="4" s="1"/>
  <c r="AK76" i="4" a="1"/>
  <c r="AK76" i="4" s="1"/>
  <c r="AJ76" i="4" a="1"/>
  <c r="AJ76" i="4" s="1"/>
  <c r="AI76" i="4" a="1"/>
  <c r="AI76" i="4" s="1"/>
  <c r="AH76" i="4" a="1"/>
  <c r="AH76" i="4" s="1"/>
  <c r="AG76" i="4" a="1"/>
  <c r="AG76" i="4" s="1"/>
  <c r="AF76" i="4" a="1"/>
  <c r="AF76" i="4" s="1"/>
  <c r="AE76" i="4" a="1"/>
  <c r="AE76" i="4" s="1"/>
  <c r="AD76" i="4" a="1"/>
  <c r="AD76" i="4" s="1"/>
  <c r="AC76" i="4" a="1"/>
  <c r="AC76" i="4" s="1"/>
  <c r="AB76" i="4" a="1"/>
  <c r="AB76" i="4" s="1"/>
  <c r="AA76" i="4" a="1"/>
  <c r="AA76" i="4" s="1"/>
  <c r="Z76" i="4" a="1"/>
  <c r="Z76" i="4" s="1"/>
  <c r="Y76" i="4" a="1"/>
  <c r="Y76" i="4" s="1"/>
  <c r="X76" i="4" a="1"/>
  <c r="X76" i="4" s="1"/>
  <c r="X67" i="4" a="1"/>
  <c r="X67" i="4" s="1"/>
  <c r="W67" i="4" a="1"/>
  <c r="W67" i="4" s="1"/>
  <c r="V67" i="4" a="1"/>
  <c r="V67" i="4" s="1"/>
  <c r="U67" i="4" a="1"/>
  <c r="U67" i="4" s="1"/>
  <c r="T67" i="4" a="1"/>
  <c r="T67" i="4" s="1"/>
  <c r="S67" i="4" a="1"/>
  <c r="S67" i="4" s="1"/>
  <c r="R67" i="4" a="1"/>
  <c r="R67" i="4" s="1"/>
  <c r="W32" i="4" a="1"/>
  <c r="W32" i="4" s="1"/>
  <c r="P67" i="4" a="1"/>
  <c r="P67" i="4" s="1"/>
  <c r="O67" i="4" a="1"/>
  <c r="O67" i="4" s="1"/>
  <c r="N67" i="4" a="1"/>
  <c r="N67" i="4" s="1"/>
  <c r="AF66" i="4" a="1"/>
  <c r="AF66" i="4" s="1"/>
  <c r="AE66" i="4" a="1"/>
  <c r="AE66" i="4" s="1"/>
  <c r="AD66" i="4" a="1"/>
  <c r="AD66" i="4" s="1"/>
  <c r="AC66" i="4" a="1"/>
  <c r="AC66" i="4" s="1"/>
  <c r="AB66" i="4" a="1"/>
  <c r="AB66" i="4" s="1"/>
  <c r="AA66" i="4" a="1"/>
  <c r="AA66" i="4" s="1"/>
  <c r="AG64" i="4" a="1"/>
  <c r="AG64" i="4" s="1"/>
  <c r="AF64" i="4" a="1"/>
  <c r="AF64" i="4" s="1"/>
  <c r="AE64" i="4" a="1"/>
  <c r="AE64" i="4" s="1"/>
  <c r="AD64" i="4" a="1"/>
  <c r="AD64" i="4" s="1"/>
  <c r="AC64" i="4" a="1"/>
  <c r="AC64" i="4" s="1"/>
  <c r="AB64" i="4" a="1"/>
  <c r="AB64" i="4" s="1"/>
  <c r="AA64" i="4" a="1"/>
  <c r="AA64" i="4" s="1"/>
  <c r="Z64" i="4" a="1"/>
  <c r="Z64" i="4" s="1"/>
  <c r="Y64" i="4" a="1"/>
  <c r="Y64" i="4" s="1"/>
  <c r="X64" i="4" a="1"/>
  <c r="X64" i="4" s="1"/>
  <c r="W64" i="4" a="1"/>
  <c r="W64" i="4" s="1"/>
  <c r="V64" i="4" a="1"/>
  <c r="V64" i="4" s="1"/>
  <c r="U64" i="4" a="1"/>
  <c r="U64" i="4" s="1"/>
  <c r="T64" i="4" a="1"/>
  <c r="T64" i="4" s="1"/>
  <c r="S64" i="4" a="1"/>
  <c r="S64" i="4" s="1"/>
  <c r="R64" i="4" a="1"/>
  <c r="R64" i="4" s="1"/>
  <c r="Q64" i="4" a="1"/>
  <c r="Q64" i="4" s="1"/>
  <c r="P64" i="4" a="1"/>
  <c r="P64" i="4" s="1"/>
  <c r="O64" i="4" a="1"/>
  <c r="O64" i="4" s="1"/>
  <c r="N64" i="4" a="1"/>
  <c r="N64" i="4" s="1"/>
  <c r="M64" i="4" a="1"/>
  <c r="M64" i="4" s="1"/>
  <c r="L64" i="4" a="1"/>
  <c r="L64" i="4" s="1"/>
  <c r="K64" i="4" a="1"/>
  <c r="K64" i="4" s="1"/>
  <c r="J64" i="4" a="1"/>
  <c r="J64" i="4" s="1"/>
  <c r="I64" i="4" a="1"/>
  <c r="I64" i="4" s="1"/>
  <c r="H64" i="4" a="1"/>
  <c r="H64" i="4" s="1"/>
  <c r="G64" i="4" a="1"/>
  <c r="G64" i="4" s="1"/>
  <c r="F64" i="4" a="1"/>
  <c r="F64" i="4" s="1"/>
  <c r="E64" i="4" a="1"/>
  <c r="E64" i="4" s="1"/>
  <c r="D64" i="4" a="1"/>
  <c r="D64" i="4" s="1"/>
  <c r="C64" i="4" a="1"/>
  <c r="C64" i="4" s="1"/>
  <c r="V32" i="4" a="1"/>
  <c r="V32" i="4" s="1"/>
  <c r="U32" i="4" a="1"/>
  <c r="U32" i="4" s="1"/>
  <c r="L57" i="4" a="1"/>
  <c r="L57" i="4" s="1"/>
  <c r="K57" i="4" a="1"/>
  <c r="K57" i="4" s="1"/>
  <c r="J57" i="4" a="1"/>
  <c r="J57" i="4" s="1"/>
  <c r="I57" i="4" a="1"/>
  <c r="I57" i="4" s="1"/>
  <c r="H57" i="4" a="1"/>
  <c r="H57" i="4" s="1"/>
  <c r="G57" i="4" a="1"/>
  <c r="G57" i="4" s="1"/>
  <c r="F57" i="4" a="1"/>
  <c r="F57" i="4" s="1"/>
  <c r="B54" i="4" a="1"/>
  <c r="B54" i="4" s="1"/>
  <c r="A54" i="4" a="1"/>
  <c r="A54" i="4" s="1"/>
  <c r="AK53" i="4" a="1"/>
  <c r="AK53" i="4" s="1"/>
  <c r="AJ53" i="4" a="1"/>
  <c r="AJ53" i="4" s="1"/>
  <c r="AI53" i="4" a="1"/>
  <c r="AI53" i="4" s="1"/>
  <c r="AH53" i="4" a="1"/>
  <c r="AH53" i="4" s="1"/>
  <c r="AG53" i="4" a="1"/>
  <c r="AG53" i="4" s="1"/>
  <c r="AF53" i="4" a="1"/>
  <c r="AF53" i="4" s="1"/>
  <c r="AE53" i="4" a="1"/>
  <c r="AE53" i="4" s="1"/>
  <c r="AD53" i="4" a="1"/>
  <c r="AD53" i="4" s="1"/>
  <c r="AC53" i="4" a="1"/>
  <c r="AC53" i="4" s="1"/>
  <c r="AB53" i="4" a="1"/>
  <c r="AB53" i="4" s="1"/>
  <c r="AA53" i="4" a="1"/>
  <c r="AA53" i="4" s="1"/>
  <c r="Z53" i="4" a="1"/>
  <c r="Z53" i="4" s="1"/>
  <c r="Y53" i="4" a="1"/>
  <c r="Y53" i="4" s="1"/>
  <c r="X53" i="4" a="1"/>
  <c r="X53" i="4" s="1"/>
  <c r="W53" i="4" a="1"/>
  <c r="W53" i="4" s="1"/>
  <c r="V53" i="4" a="1"/>
  <c r="V53" i="4" s="1"/>
  <c r="U53" i="4" a="1"/>
  <c r="U53" i="4" s="1"/>
  <c r="T53" i="4" a="1"/>
  <c r="T53" i="4" s="1"/>
  <c r="S53" i="4" a="1"/>
  <c r="S53" i="4" s="1"/>
  <c r="R53" i="4" a="1"/>
  <c r="R53" i="4" s="1"/>
  <c r="Q53" i="4" a="1"/>
  <c r="Q53" i="4" s="1"/>
  <c r="P53" i="4" a="1"/>
  <c r="P53" i="4" s="1"/>
  <c r="O53" i="4" a="1"/>
  <c r="O53" i="4" s="1"/>
  <c r="N53" i="4" a="1"/>
  <c r="N53" i="4" s="1"/>
  <c r="M53" i="4" a="1"/>
  <c r="M53" i="4" s="1"/>
  <c r="L53" i="4" a="1"/>
  <c r="L53" i="4" s="1"/>
  <c r="K53" i="4" a="1"/>
  <c r="K53" i="4" s="1"/>
  <c r="J53" i="4" a="1"/>
  <c r="J53" i="4" s="1"/>
  <c r="I53" i="4" a="1"/>
  <c r="I53" i="4" s="1"/>
  <c r="H53" i="4" a="1"/>
  <c r="H53" i="4" s="1"/>
  <c r="G53" i="4" a="1"/>
  <c r="G53" i="4" s="1"/>
  <c r="F53" i="4" a="1"/>
  <c r="F53" i="4" s="1"/>
  <c r="O43" i="4" a="1"/>
  <c r="O43" i="4" s="1"/>
  <c r="N43" i="4" a="1"/>
  <c r="N43" i="4" s="1"/>
  <c r="M43" i="4" a="1"/>
  <c r="M43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G43" i="4" a="1"/>
  <c r="G43" i="4" s="1"/>
  <c r="F43" i="4" a="1"/>
  <c r="F43" i="4" s="1"/>
  <c r="E43" i="4" a="1"/>
  <c r="E43" i="4" s="1"/>
  <c r="D43" i="4" a="1"/>
  <c r="D43" i="4" s="1"/>
  <c r="C43" i="4" a="1"/>
  <c r="C43" i="4" s="1"/>
  <c r="B43" i="4" a="1"/>
  <c r="B43" i="4" s="1"/>
  <c r="A43" i="4" a="1"/>
  <c r="A43" i="4" s="1"/>
  <c r="AK42" i="4" a="1"/>
  <c r="AK42" i="4" s="1"/>
  <c r="AJ42" i="4" a="1"/>
  <c r="AJ42" i="4" s="1"/>
  <c r="AI42" i="4" a="1"/>
  <c r="AI42" i="4" s="1"/>
  <c r="AH42" i="4" a="1"/>
  <c r="AH42" i="4" s="1"/>
  <c r="AG42" i="4" a="1"/>
  <c r="AG42" i="4" s="1"/>
  <c r="AF42" i="4" a="1"/>
  <c r="AF42" i="4" s="1"/>
  <c r="AE42" i="4" a="1"/>
  <c r="AE42" i="4" s="1"/>
  <c r="AD42" i="4" a="1"/>
  <c r="AD42" i="4" s="1"/>
  <c r="AC42" i="4" a="1"/>
  <c r="AC42" i="4" s="1"/>
  <c r="AB42" i="4" a="1"/>
  <c r="AB42" i="4" s="1"/>
  <c r="AA42" i="4" a="1"/>
  <c r="AA42" i="4" s="1"/>
  <c r="Z42" i="4" a="1"/>
  <c r="Z42" i="4" s="1"/>
  <c r="Y42" i="4" a="1"/>
  <c r="Y42" i="4" s="1"/>
  <c r="X42" i="4" a="1"/>
  <c r="X42" i="4" s="1"/>
  <c r="W42" i="4" a="1"/>
  <c r="W42" i="4" s="1"/>
  <c r="V42" i="4" a="1"/>
  <c r="V42" i="4" s="1"/>
  <c r="U42" i="4" a="1"/>
  <c r="U42" i="4" s="1"/>
  <c r="T42" i="4" a="1"/>
  <c r="T42" i="4" s="1"/>
  <c r="S42" i="4" a="1"/>
  <c r="S42" i="4" s="1"/>
  <c r="R42" i="4" a="1"/>
  <c r="R42" i="4" s="1"/>
  <c r="Q42" i="4" a="1"/>
  <c r="Q42" i="4" s="1"/>
  <c r="P42" i="4" a="1"/>
  <c r="P42" i="4" s="1"/>
  <c r="O42" i="4" a="1"/>
  <c r="O42" i="4" s="1"/>
  <c r="N42" i="4" a="1"/>
  <c r="N42" i="4" s="1"/>
  <c r="M42" i="4" a="1"/>
  <c r="M42" i="4" s="1"/>
  <c r="AH33" i="4" a="1"/>
  <c r="AH33" i="4" s="1"/>
  <c r="AG33" i="4" a="1"/>
  <c r="AG33" i="4" s="1"/>
  <c r="AF33" i="4" a="1"/>
  <c r="AF33" i="4" s="1"/>
  <c r="AE33" i="4" a="1"/>
  <c r="AE33" i="4" s="1"/>
  <c r="AD33" i="4" a="1"/>
  <c r="AD33" i="4" s="1"/>
  <c r="AC33" i="4" a="1"/>
  <c r="AC33" i="4" s="1"/>
  <c r="AB33" i="4" a="1"/>
  <c r="AB33" i="4" s="1"/>
  <c r="AA33" i="4" a="1"/>
  <c r="AA33" i="4" s="1"/>
  <c r="Z33" i="4" a="1"/>
  <c r="Z33" i="4" s="1"/>
  <c r="Y33" i="4" a="1"/>
  <c r="Y33" i="4" s="1"/>
  <c r="X33" i="4" a="1"/>
  <c r="X33" i="4" s="1"/>
  <c r="W33" i="4" a="1"/>
  <c r="W33" i="4" s="1"/>
  <c r="V33" i="4" a="1"/>
  <c r="V33" i="4" s="1"/>
  <c r="U33" i="4" a="1"/>
  <c r="U33" i="4" s="1"/>
  <c r="T33" i="4" a="1"/>
  <c r="T33" i="4" s="1"/>
  <c r="S33" i="4" a="1"/>
  <c r="S33" i="4" s="1"/>
  <c r="R33" i="4" a="1"/>
  <c r="R33" i="4" s="1"/>
  <c r="Q33" i="4" a="1"/>
  <c r="Q33" i="4" s="1"/>
  <c r="P33" i="4" a="1"/>
  <c r="P33" i="4" s="1"/>
  <c r="O33" i="4" a="1"/>
  <c r="O33" i="4" s="1"/>
  <c r="N33" i="4" a="1"/>
  <c r="N33" i="4" s="1"/>
  <c r="M33" i="4" a="1"/>
  <c r="M33" i="4" s="1"/>
  <c r="L33" i="4" a="1"/>
  <c r="L33" i="4" s="1"/>
  <c r="K33" i="4" a="1"/>
  <c r="K33" i="4" s="1"/>
  <c r="J33" i="4" a="1"/>
  <c r="J33" i="4" s="1"/>
  <c r="I33" i="4" a="1"/>
  <c r="I33" i="4" s="1"/>
  <c r="H33" i="4" a="1"/>
  <c r="H33" i="4" s="1"/>
  <c r="G33" i="4" a="1"/>
  <c r="G33" i="4" s="1"/>
  <c r="F33" i="4" a="1"/>
  <c r="F33" i="4" s="1"/>
  <c r="E33" i="4" a="1"/>
  <c r="E33" i="4" s="1"/>
  <c r="D33" i="4" a="1"/>
  <c r="D33" i="4" s="1"/>
  <c r="C33" i="4" a="1"/>
  <c r="C33" i="4" s="1"/>
  <c r="B33" i="4" a="1"/>
  <c r="B33" i="4" s="1"/>
  <c r="A33" i="4" a="1"/>
  <c r="A33" i="4" s="1"/>
  <c r="AK32" i="4" a="1"/>
  <c r="AK32" i="4" s="1"/>
  <c r="AJ32" i="4" a="1"/>
  <c r="AJ32" i="4" s="1"/>
  <c r="AI32" i="4" a="1"/>
  <c r="AI32" i="4" s="1"/>
  <c r="AH32" i="4" a="1"/>
  <c r="AH32" i="4" s="1"/>
  <c r="AG32" i="4" a="1"/>
  <c r="AG32" i="4" s="1"/>
  <c r="AF32" i="4" a="1"/>
  <c r="AF32" i="4" s="1"/>
  <c r="AE32" i="4" a="1"/>
  <c r="AE32" i="4" s="1"/>
  <c r="AD32" i="4" a="1"/>
  <c r="AD32" i="4" s="1"/>
  <c r="AC32" i="4" a="1"/>
  <c r="AC32" i="4" s="1"/>
  <c r="AB32" i="4" a="1"/>
  <c r="AB32" i="4" s="1"/>
  <c r="AA32" i="4" a="1"/>
  <c r="AA32" i="4" s="1"/>
  <c r="Z32" i="4" a="1"/>
  <c r="Z32" i="4" s="1"/>
  <c r="Y32" i="4" a="1"/>
  <c r="Y32" i="4" s="1"/>
  <c r="X32" i="4" a="1"/>
  <c r="X32" i="4" s="1"/>
  <c r="U34" i="4" a="1"/>
  <c r="U34" i="4" s="1"/>
  <c r="T34" i="4" a="1"/>
  <c r="T34" i="4" s="1"/>
  <c r="S34" i="4" a="1"/>
  <c r="S34" i="4" s="1"/>
  <c r="R34" i="4" a="1"/>
  <c r="R34" i="4" s="1"/>
  <c r="C78" i="4" a="1"/>
  <c r="C78" i="4" s="1"/>
  <c r="B78" i="4" a="1"/>
  <c r="B78" i="4" s="1"/>
  <c r="A78" i="4" a="1"/>
  <c r="A78" i="4" s="1"/>
  <c r="AK77" i="4" a="1"/>
  <c r="AK77" i="4" s="1"/>
  <c r="AJ77" i="4" a="1"/>
  <c r="AJ77" i="4" s="1"/>
  <c r="AI77" i="4" a="1"/>
  <c r="AI77" i="4" s="1"/>
  <c r="AH77" i="4" a="1"/>
  <c r="AH77" i="4" s="1"/>
  <c r="AG77" i="4" a="1"/>
  <c r="AG77" i="4" s="1"/>
  <c r="AF77" i="4" a="1"/>
  <c r="AF77" i="4" s="1"/>
  <c r="AE77" i="4" a="1"/>
  <c r="AE77" i="4" s="1"/>
  <c r="AD77" i="4" a="1"/>
  <c r="AD77" i="4" s="1"/>
  <c r="AC77" i="4" a="1"/>
  <c r="AC77" i="4" s="1"/>
  <c r="AB77" i="4" a="1"/>
  <c r="AB77" i="4" s="1"/>
  <c r="AA77" i="4" a="1"/>
  <c r="AA77" i="4" s="1"/>
  <c r="Z77" i="4" a="1"/>
  <c r="Z77" i="4" s="1"/>
  <c r="Y77" i="4" a="1"/>
  <c r="Y77" i="4" s="1"/>
  <c r="X77" i="4" a="1"/>
  <c r="X77" i="4" s="1"/>
  <c r="Q34" i="4" a="1"/>
  <c r="Q34" i="4" s="1"/>
  <c r="P34" i="4" a="1"/>
  <c r="P34" i="4" s="1"/>
  <c r="M67" i="4" a="1"/>
  <c r="M67" i="4" s="1"/>
  <c r="L67" i="4" a="1"/>
  <c r="L67" i="4" s="1"/>
  <c r="K67" i="4" a="1"/>
  <c r="K67" i="4" s="1"/>
  <c r="J67" i="4" a="1"/>
  <c r="J67" i="4" s="1"/>
  <c r="I67" i="4" a="1"/>
  <c r="I67" i="4" s="1"/>
  <c r="H67" i="4" a="1"/>
  <c r="H67" i="4" s="1"/>
  <c r="G67" i="4" a="1"/>
  <c r="G67" i="4" s="1"/>
  <c r="F67" i="4" a="1"/>
  <c r="F67" i="4" s="1"/>
  <c r="E67" i="4" a="1"/>
  <c r="E67" i="4" s="1"/>
  <c r="D67" i="4" a="1"/>
  <c r="D67" i="4" s="1"/>
  <c r="C67" i="4" a="1"/>
  <c r="C67" i="4" s="1"/>
  <c r="A67" i="4" a="1"/>
  <c r="A67" i="4" s="1"/>
  <c r="AK66" i="4" a="1"/>
  <c r="AK66" i="4" s="1"/>
  <c r="AJ66" i="4" a="1"/>
  <c r="AJ66" i="4" s="1"/>
  <c r="AI66" i="4" a="1"/>
  <c r="AI66" i="4" s="1"/>
  <c r="AH66" i="4" a="1"/>
  <c r="AH66" i="4" s="1"/>
  <c r="AG66" i="4" a="1"/>
  <c r="AG66" i="4" s="1"/>
  <c r="O34" i="4" a="1"/>
  <c r="O34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E57" i="4" a="1"/>
  <c r="E57" i="4" s="1"/>
  <c r="D57" i="4" a="1"/>
  <c r="D57" i="4" s="1"/>
  <c r="B57" i="4" a="1"/>
  <c r="B57" i="4" s="1"/>
  <c r="A57" i="4" a="1"/>
  <c r="A57" i="4" s="1"/>
  <c r="AK56" i="4" a="1"/>
  <c r="AK56" i="4" s="1"/>
  <c r="AJ56" i="4" a="1"/>
  <c r="AJ56" i="4" s="1"/>
  <c r="AI56" i="4" a="1"/>
  <c r="AI56" i="4" s="1"/>
  <c r="AH56" i="4" a="1"/>
  <c r="AH56" i="4" s="1"/>
  <c r="AG56" i="4" a="1"/>
  <c r="AG56" i="4" s="1"/>
  <c r="AF56" i="4" a="1"/>
  <c r="AF56" i="4" s="1"/>
  <c r="T54" i="4" a="1"/>
  <c r="T54" i="4" s="1"/>
  <c r="S54" i="4" a="1"/>
  <c r="S54" i="4" s="1"/>
  <c r="R54" i="4" a="1"/>
  <c r="R54" i="4" s="1"/>
  <c r="Q54" i="4" a="1"/>
  <c r="Q54" i="4" s="1"/>
  <c r="P54" i="4" a="1"/>
  <c r="P54" i="4" s="1"/>
  <c r="O54" i="4" a="1"/>
  <c r="O54" i="4" s="1"/>
  <c r="N54" i="4" a="1"/>
  <c r="N54" i="4" s="1"/>
  <c r="M54" i="4" a="1"/>
  <c r="M54" i="4" s="1"/>
  <c r="L54" i="4" a="1"/>
  <c r="L54" i="4" s="1"/>
  <c r="K54" i="4" a="1"/>
  <c r="K54" i="4" s="1"/>
  <c r="J54" i="4" a="1"/>
  <c r="J54" i="4" s="1"/>
  <c r="I54" i="4" a="1"/>
  <c r="I54" i="4" s="1"/>
  <c r="H54" i="4" a="1"/>
  <c r="H54" i="4" s="1"/>
  <c r="G54" i="4" a="1"/>
  <c r="G54" i="4" s="1"/>
  <c r="F54" i="4" a="1"/>
  <c r="F54" i="4" s="1"/>
  <c r="E54" i="4" a="1"/>
  <c r="E54" i="4" s="1"/>
  <c r="D54" i="4" a="1"/>
  <c r="D54" i="4" s="1"/>
  <c r="C54" i="4" a="1"/>
  <c r="C54" i="4" s="1"/>
  <c r="D44" i="4" a="1"/>
  <c r="D44" i="4" s="1"/>
  <c r="C44" i="4" a="1"/>
  <c r="C44" i="4" s="1"/>
  <c r="B44" i="4" a="1"/>
  <c r="B44" i="4" s="1"/>
  <c r="A44" i="4" a="1"/>
  <c r="A44" i="4" s="1"/>
  <c r="AK43" i="4" a="1"/>
  <c r="AK43" i="4" s="1"/>
  <c r="AJ43" i="4" a="1"/>
  <c r="AJ43" i="4" s="1"/>
  <c r="AI43" i="4" a="1"/>
  <c r="AI43" i="4" s="1"/>
  <c r="AH43" i="4" a="1"/>
  <c r="AH43" i="4" s="1"/>
  <c r="AG43" i="4" a="1"/>
  <c r="AG43" i="4" s="1"/>
  <c r="AF43" i="4" a="1"/>
  <c r="AF43" i="4" s="1"/>
  <c r="AE43" i="4" a="1"/>
  <c r="AE43" i="4" s="1"/>
  <c r="AD43" i="4" a="1"/>
  <c r="AD43" i="4" s="1"/>
  <c r="AC43" i="4" a="1"/>
  <c r="AC43" i="4" s="1"/>
  <c r="AB43" i="4" a="1"/>
  <c r="AB43" i="4" s="1"/>
  <c r="AA43" i="4" a="1"/>
  <c r="AA43" i="4" s="1"/>
  <c r="Z43" i="4" a="1"/>
  <c r="Z43" i="4" s="1"/>
  <c r="Y43" i="4" a="1"/>
  <c r="Y43" i="4" s="1"/>
  <c r="X43" i="4" a="1"/>
  <c r="X43" i="4" s="1"/>
  <c r="W43" i="4" a="1"/>
  <c r="W43" i="4" s="1"/>
  <c r="AK34" i="4" a="1"/>
  <c r="AK34" i="4" s="1"/>
  <c r="AJ34" i="4" a="1"/>
  <c r="AJ34" i="4" s="1"/>
  <c r="AI34" i="4" a="1"/>
  <c r="AI34" i="4" s="1"/>
  <c r="AH34" i="4" a="1"/>
  <c r="AH34" i="4" s="1"/>
  <c r="AG34" i="4" a="1"/>
  <c r="AG34" i="4" s="1"/>
  <c r="AF34" i="4" a="1"/>
  <c r="AF34" i="4" s="1"/>
  <c r="AE34" i="4" a="1"/>
  <c r="AE34" i="4" s="1"/>
  <c r="AD34" i="4" a="1"/>
  <c r="AD34" i="4" s="1"/>
  <c r="AC34" i="4" a="1"/>
  <c r="AC34" i="4" s="1"/>
  <c r="AB34" i="4" a="1"/>
  <c r="AB34" i="4" s="1"/>
  <c r="AA34" i="4" a="1"/>
  <c r="AA34" i="4" s="1"/>
  <c r="Z34" i="4" a="1"/>
  <c r="Z34" i="4" s="1"/>
  <c r="Y34" i="4" a="1"/>
  <c r="Y34" i="4" s="1"/>
  <c r="X34" i="4" a="1"/>
  <c r="X34" i="4" s="1"/>
  <c r="W34" i="4" a="1"/>
  <c r="W34" i="4" s="1"/>
  <c r="V34" i="4" a="1"/>
  <c r="V34" i="4" s="1"/>
  <c r="V76" i="4" a="1"/>
  <c r="V76" i="4" s="1"/>
  <c r="U76" i="4" a="1"/>
  <c r="U76" i="4" s="1"/>
  <c r="T76" i="4" a="1"/>
  <c r="T76" i="4" s="1"/>
  <c r="S76" i="4" a="1"/>
  <c r="S76" i="4" s="1"/>
  <c r="R76" i="4" a="1"/>
  <c r="R76" i="4" s="1"/>
  <c r="Q76" i="4" a="1"/>
  <c r="Q76" i="4" s="1"/>
  <c r="P76" i="4" a="1"/>
  <c r="P76" i="4" s="1"/>
  <c r="O76" i="4" a="1"/>
  <c r="O76" i="4" s="1"/>
  <c r="N76" i="4" a="1"/>
  <c r="N76" i="4" s="1"/>
  <c r="M76" i="4" a="1"/>
  <c r="M76" i="4" s="1"/>
  <c r="L76" i="4" a="1"/>
  <c r="L76" i="4" s="1"/>
  <c r="K76" i="4" a="1"/>
  <c r="K76" i="4" s="1"/>
  <c r="J76" i="4" a="1"/>
  <c r="J76" i="4" s="1"/>
  <c r="I76" i="4" a="1"/>
  <c r="I76" i="4" s="1"/>
  <c r="H76" i="4" a="1"/>
  <c r="H76" i="4" s="1"/>
  <c r="G76" i="4" a="1"/>
  <c r="G76" i="4" s="1"/>
  <c r="F76" i="4" a="1"/>
  <c r="F76" i="4" s="1"/>
  <c r="E76" i="4" a="1"/>
  <c r="E76" i="4" s="1"/>
  <c r="D76" i="4" a="1"/>
  <c r="D76" i="4" s="1"/>
  <c r="C76" i="4" a="1"/>
  <c r="C76" i="4" s="1"/>
  <c r="B76" i="4" a="1"/>
  <c r="B76" i="4" s="1"/>
  <c r="A76" i="4" a="1"/>
  <c r="A76" i="4" s="1"/>
  <c r="AK75" i="4" a="1"/>
  <c r="AK75" i="4" s="1"/>
  <c r="AJ75" i="4" a="1"/>
  <c r="AJ75" i="4" s="1"/>
  <c r="AI75" i="4" a="1"/>
  <c r="AI75" i="4" s="1"/>
  <c r="AH75" i="4" a="1"/>
  <c r="AH75" i="4" s="1"/>
  <c r="AG75" i="4" a="1"/>
  <c r="AG75" i="4" s="1"/>
  <c r="AF75" i="4" a="1"/>
  <c r="AF75" i="4" s="1"/>
  <c r="AE75" i="4" a="1"/>
  <c r="AE75" i="4" s="1"/>
  <c r="AD75" i="4" a="1"/>
  <c r="AD75" i="4" s="1"/>
  <c r="AC75" i="4" a="1"/>
  <c r="AC75" i="4" s="1"/>
  <c r="AB75" i="4" a="1"/>
  <c r="AB75" i="4" s="1"/>
  <c r="AA75" i="4" a="1"/>
  <c r="AA75" i="4" s="1"/>
  <c r="Z75" i="4" a="1"/>
  <c r="Z75" i="4" s="1"/>
  <c r="Y75" i="4" a="1"/>
  <c r="Y75" i="4" s="1"/>
  <c r="X75" i="4" a="1"/>
  <c r="X75" i="4" s="1"/>
  <c r="W75" i="4" a="1"/>
  <c r="W75" i="4" s="1"/>
  <c r="V75" i="4" a="1"/>
  <c r="V75" i="4" s="1"/>
  <c r="U75" i="4" a="1"/>
  <c r="U75" i="4" s="1"/>
  <c r="T75" i="4" a="1"/>
  <c r="T75" i="4" s="1"/>
  <c r="S75" i="4" a="1"/>
  <c r="S75" i="4" s="1"/>
  <c r="R75" i="4" a="1"/>
  <c r="R75" i="4" s="1"/>
  <c r="Q75" i="4" a="1"/>
  <c r="Q75" i="4" s="1"/>
  <c r="P75" i="4" a="1"/>
  <c r="P75" i="4" s="1"/>
  <c r="O75" i="4" a="1"/>
  <c r="O75" i="4" s="1"/>
  <c r="N75" i="4" a="1"/>
  <c r="N75" i="4" s="1"/>
  <c r="M75" i="4" a="1"/>
  <c r="M75" i="4" s="1"/>
  <c r="L75" i="4" a="1"/>
  <c r="L75" i="4" s="1"/>
  <c r="K75" i="4" a="1"/>
  <c r="K75" i="4" s="1"/>
  <c r="J75" i="4" a="1"/>
  <c r="J75" i="4" s="1"/>
  <c r="I75" i="4" a="1"/>
  <c r="I75" i="4" s="1"/>
  <c r="H75" i="4" a="1"/>
  <c r="H75" i="4" s="1"/>
  <c r="G75" i="4" a="1"/>
  <c r="G75" i="4" s="1"/>
  <c r="F75" i="4" a="1"/>
  <c r="F75" i="4" s="1"/>
  <c r="E75" i="4" a="1"/>
  <c r="E75" i="4" s="1"/>
  <c r="D75" i="4" a="1"/>
  <c r="D75" i="4" s="1"/>
  <c r="C75" i="4" a="1"/>
  <c r="C75" i="4" s="1"/>
  <c r="B75" i="4" a="1"/>
  <c r="B75" i="4" s="1"/>
  <c r="A75" i="4" a="1"/>
  <c r="A75" i="4" s="1"/>
  <c r="AK74" i="4" a="1"/>
  <c r="AK74" i="4" s="1"/>
  <c r="AJ74" i="4" a="1"/>
  <c r="AJ74" i="4" s="1"/>
  <c r="AI74" i="4" a="1"/>
  <c r="AI74" i="4" s="1"/>
  <c r="AH74" i="4" a="1"/>
  <c r="AH74" i="4" s="1"/>
  <c r="AG74" i="4" a="1"/>
  <c r="AG74" i="4" s="1"/>
  <c r="AF74" i="4" a="1"/>
  <c r="AF74" i="4" s="1"/>
  <c r="AE74" i="4" a="1"/>
  <c r="AE74" i="4" s="1"/>
  <c r="AD74" i="4" a="1"/>
  <c r="AD74" i="4" s="1"/>
  <c r="AC74" i="4" a="1"/>
  <c r="AC74" i="4" s="1"/>
  <c r="AB74" i="4" a="1"/>
  <c r="AB74" i="4" s="1"/>
  <c r="AA74" i="4" a="1"/>
  <c r="AA74" i="4" s="1"/>
  <c r="Z74" i="4" a="1"/>
  <c r="Z74" i="4" s="1"/>
  <c r="Y74" i="4" a="1"/>
  <c r="Y74" i="4" s="1"/>
  <c r="X74" i="4" a="1"/>
  <c r="X74" i="4" s="1"/>
  <c r="W74" i="4" a="1"/>
  <c r="W74" i="4" s="1"/>
  <c r="V74" i="4" a="1"/>
  <c r="V74" i="4" s="1"/>
  <c r="U74" i="4" a="1"/>
  <c r="U74" i="4" s="1"/>
  <c r="T74" i="4" a="1"/>
  <c r="T74" i="4" s="1"/>
  <c r="S74" i="4" a="1"/>
  <c r="S74" i="4" s="1"/>
  <c r="R74" i="4" a="1"/>
  <c r="R74" i="4" s="1"/>
  <c r="Q74" i="4" a="1"/>
  <c r="Q74" i="4" s="1"/>
  <c r="P74" i="4" a="1"/>
  <c r="P74" i="4" s="1"/>
  <c r="O74" i="4" a="1"/>
  <c r="O74" i="4" s="1"/>
  <c r="N74" i="4" a="1"/>
  <c r="N74" i="4" s="1"/>
  <c r="M74" i="4" a="1"/>
  <c r="M74" i="4" s="1"/>
  <c r="L74" i="4" a="1"/>
  <c r="L74" i="4" s="1"/>
  <c r="A21" i="4" a="1"/>
  <c r="A21" i="4" s="1"/>
  <c r="Z66" i="4" a="1"/>
  <c r="Z66" i="4" s="1"/>
  <c r="Y66" i="4" a="1"/>
  <c r="Y66" i="4" s="1"/>
  <c r="X66" i="4" a="1"/>
  <c r="X66" i="4" s="1"/>
  <c r="W66" i="4" a="1"/>
  <c r="W66" i="4" s="1"/>
  <c r="V66" i="4" a="1"/>
  <c r="V66" i="4" s="1"/>
  <c r="U66" i="4" a="1"/>
  <c r="U66" i="4" s="1"/>
  <c r="T66" i="4" a="1"/>
  <c r="T66" i="4" s="1"/>
  <c r="S66" i="4" a="1"/>
  <c r="S66" i="4" s="1"/>
  <c r="R66" i="4" a="1"/>
  <c r="R66" i="4" s="1"/>
  <c r="Q66" i="4" a="1"/>
  <c r="Q66" i="4" s="1"/>
  <c r="P66" i="4" a="1"/>
  <c r="P66" i="4" s="1"/>
  <c r="O66" i="4" a="1"/>
  <c r="O66" i="4" s="1"/>
  <c r="N66" i="4" a="1"/>
  <c r="N66" i="4" s="1"/>
  <c r="M66" i="4" a="1"/>
  <c r="M66" i="4" s="1"/>
  <c r="L66" i="4" a="1"/>
  <c r="L66" i="4" s="1"/>
  <c r="K66" i="4" a="1"/>
  <c r="K66" i="4" s="1"/>
  <c r="J66" i="4" a="1"/>
  <c r="J66" i="4" s="1"/>
  <c r="I66" i="4" a="1"/>
  <c r="I66" i="4" s="1"/>
  <c r="H66" i="4" a="1"/>
  <c r="H66" i="4" s="1"/>
  <c r="G66" i="4" a="1"/>
  <c r="G66" i="4" s="1"/>
  <c r="F66" i="4" a="1"/>
  <c r="F66" i="4" s="1"/>
  <c r="E66" i="4" a="1"/>
  <c r="E66" i="4" s="1"/>
  <c r="D66" i="4" a="1"/>
  <c r="D66" i="4" s="1"/>
  <c r="C66" i="4" a="1"/>
  <c r="C66" i="4" s="1"/>
  <c r="B66" i="4" a="1"/>
  <c r="B66" i="4" s="1"/>
  <c r="A66" i="4" a="1"/>
  <c r="A66" i="4" s="1"/>
  <c r="AK65" i="4" a="1"/>
  <c r="AK65" i="4" s="1"/>
  <c r="AJ65" i="4" a="1"/>
  <c r="AJ65" i="4" s="1"/>
  <c r="AI65" i="4" a="1"/>
  <c r="AI65" i="4" s="1"/>
  <c r="AH65" i="4" a="1"/>
  <c r="AH65" i="4" s="1"/>
  <c r="AG65" i="4" a="1"/>
  <c r="AG65" i="4" s="1"/>
  <c r="AF65" i="4" a="1"/>
  <c r="AF65" i="4" s="1"/>
  <c r="AE65" i="4" a="1"/>
  <c r="AE65" i="4" s="1"/>
  <c r="AD65" i="4" a="1"/>
  <c r="AD65" i="4" s="1"/>
  <c r="AC65" i="4" a="1"/>
  <c r="AC65" i="4" s="1"/>
  <c r="AB65" i="4" a="1"/>
  <c r="AB65" i="4" s="1"/>
  <c r="AA65" i="4" a="1"/>
  <c r="AA65" i="4" s="1"/>
  <c r="Z65" i="4" a="1"/>
  <c r="Z65" i="4" s="1"/>
  <c r="Y65" i="4" a="1"/>
  <c r="Y65" i="4" s="1"/>
  <c r="X65" i="4" a="1"/>
  <c r="X65" i="4" s="1"/>
  <c r="W65" i="4" a="1"/>
  <c r="W65" i="4" s="1"/>
  <c r="V65" i="4" a="1"/>
  <c r="V65" i="4" s="1"/>
  <c r="U65" i="4" a="1"/>
  <c r="U65" i="4" s="1"/>
  <c r="T65" i="4" a="1"/>
  <c r="T65" i="4" s="1"/>
  <c r="S65" i="4" a="1"/>
  <c r="S65" i="4" s="1"/>
  <c r="R65" i="4" a="1"/>
  <c r="R65" i="4" s="1"/>
  <c r="Q65" i="4" a="1"/>
  <c r="Q65" i="4" s="1"/>
  <c r="P65" i="4" a="1"/>
  <c r="P65" i="4" s="1"/>
  <c r="O65" i="4" a="1"/>
  <c r="O65" i="4" s="1"/>
  <c r="N65" i="4" a="1"/>
  <c r="N65" i="4" s="1"/>
  <c r="M65" i="4" a="1"/>
  <c r="M65" i="4" s="1"/>
  <c r="L65" i="4" a="1"/>
  <c r="L65" i="4" s="1"/>
  <c r="K65" i="4" a="1"/>
  <c r="K65" i="4" s="1"/>
  <c r="J65" i="4" a="1"/>
  <c r="J65" i="4" s="1"/>
  <c r="I65" i="4" a="1"/>
  <c r="I65" i="4" s="1"/>
  <c r="H65" i="4" a="1"/>
  <c r="H65" i="4" s="1"/>
  <c r="G65" i="4" a="1"/>
  <c r="G65" i="4" s="1"/>
  <c r="F65" i="4" a="1"/>
  <c r="F65" i="4" s="1"/>
  <c r="E65" i="4" a="1"/>
  <c r="E65" i="4" s="1"/>
  <c r="D65" i="4" a="1"/>
  <c r="D65" i="4" s="1"/>
  <c r="C65" i="4" a="1"/>
  <c r="C65" i="4" s="1"/>
  <c r="B65" i="4" a="1"/>
  <c r="B65" i="4" s="1"/>
  <c r="A65" i="4" a="1"/>
  <c r="A65" i="4" s="1"/>
  <c r="AK64" i="4" a="1"/>
  <c r="AK64" i="4" s="1"/>
  <c r="AJ64" i="4" a="1"/>
  <c r="AJ64" i="4" s="1"/>
  <c r="AI64" i="4" a="1"/>
  <c r="AI64" i="4" s="1"/>
  <c r="AH64" i="4" a="1"/>
  <c r="AH64" i="4" s="1"/>
  <c r="AE56" i="4" a="1"/>
  <c r="AE56" i="4" s="1"/>
  <c r="AD56" i="4" a="1"/>
  <c r="AD56" i="4" s="1"/>
  <c r="AC56" i="4" a="1"/>
  <c r="AC56" i="4" s="1"/>
  <c r="AB56" i="4" a="1"/>
  <c r="AB56" i="4" s="1"/>
  <c r="AA56" i="4" a="1"/>
  <c r="AA56" i="4" s="1"/>
  <c r="Z56" i="4" a="1"/>
  <c r="Z56" i="4" s="1"/>
  <c r="Y56" i="4" a="1"/>
  <c r="Y56" i="4" s="1"/>
  <c r="X56" i="4" a="1"/>
  <c r="X56" i="4" s="1"/>
  <c r="W56" i="4" a="1"/>
  <c r="W56" i="4" s="1"/>
  <c r="V56" i="4" a="1"/>
  <c r="V56" i="4" s="1"/>
  <c r="U56" i="4" a="1"/>
  <c r="U56" i="4" s="1"/>
  <c r="T56" i="4" a="1"/>
  <c r="T56" i="4" s="1"/>
  <c r="S56" i="4" a="1"/>
  <c r="S56" i="4" s="1"/>
  <c r="R56" i="4" a="1"/>
  <c r="R56" i="4" s="1"/>
  <c r="Q56" i="4" a="1"/>
  <c r="Q56" i="4" s="1"/>
  <c r="P56" i="4" a="1"/>
  <c r="P56" i="4" s="1"/>
  <c r="O56" i="4" a="1"/>
  <c r="O56" i="4" s="1"/>
  <c r="N56" i="4" a="1"/>
  <c r="N56" i="4" s="1"/>
  <c r="M56" i="4" a="1"/>
  <c r="M56" i="4" s="1"/>
  <c r="L56" i="4" a="1"/>
  <c r="L56" i="4" s="1"/>
  <c r="K56" i="4" a="1"/>
  <c r="K56" i="4" s="1"/>
  <c r="J56" i="4" a="1"/>
  <c r="J56" i="4" s="1"/>
  <c r="I56" i="4" a="1"/>
  <c r="I56" i="4" s="1"/>
  <c r="H56" i="4" a="1"/>
  <c r="H56" i="4" s="1"/>
  <c r="G56" i="4" a="1"/>
  <c r="G56" i="4" s="1"/>
  <c r="F56" i="4" a="1"/>
  <c r="F56" i="4" s="1"/>
  <c r="E56" i="4" a="1"/>
  <c r="E56" i="4" s="1"/>
  <c r="D56" i="4" a="1"/>
  <c r="D56" i="4" s="1"/>
  <c r="C56" i="4" a="1"/>
  <c r="C56" i="4" s="1"/>
  <c r="B56" i="4" a="1"/>
  <c r="B56" i="4" s="1"/>
  <c r="A56" i="4" a="1"/>
  <c r="A56" i="4" s="1"/>
  <c r="AK55" i="4" a="1"/>
  <c r="AK55" i="4" s="1"/>
  <c r="AJ55" i="4" a="1"/>
  <c r="AJ55" i="4" s="1"/>
  <c r="AI55" i="4" a="1"/>
  <c r="AI55" i="4" s="1"/>
  <c r="AH55" i="4" a="1"/>
  <c r="AH55" i="4" s="1"/>
  <c r="AG55" i="4" a="1"/>
  <c r="AG55" i="4" s="1"/>
  <c r="AF55" i="4" a="1"/>
  <c r="AF55" i="4" s="1"/>
  <c r="AE55" i="4" a="1"/>
  <c r="AE55" i="4" s="1"/>
  <c r="AD55" i="4" a="1"/>
  <c r="AD55" i="4" s="1"/>
  <c r="AC55" i="4" a="1"/>
  <c r="AC55" i="4" s="1"/>
  <c r="AB55" i="4" a="1"/>
  <c r="AB55" i="4" s="1"/>
  <c r="AA55" i="4" a="1"/>
  <c r="AA55" i="4" s="1"/>
  <c r="Z55" i="4" a="1"/>
  <c r="Z55" i="4" s="1"/>
  <c r="Y55" i="4" a="1"/>
  <c r="Y55" i="4" s="1"/>
  <c r="X55" i="4" a="1"/>
  <c r="X55" i="4" s="1"/>
  <c r="W55" i="4" a="1"/>
  <c r="W55" i="4" s="1"/>
  <c r="V55" i="4" a="1"/>
  <c r="V55" i="4" s="1"/>
  <c r="U55" i="4" a="1"/>
  <c r="U55" i="4" s="1"/>
  <c r="T55" i="4" a="1"/>
  <c r="T55" i="4" s="1"/>
  <c r="S55" i="4" a="1"/>
  <c r="S55" i="4" s="1"/>
  <c r="R55" i="4" a="1"/>
  <c r="R55" i="4" s="1"/>
  <c r="Q55" i="4" a="1"/>
  <c r="Q55" i="4" s="1"/>
  <c r="P55" i="4" a="1"/>
  <c r="P55" i="4" s="1"/>
  <c r="O55" i="4" a="1"/>
  <c r="O55" i="4" s="1"/>
  <c r="N55" i="4" a="1"/>
  <c r="N55" i="4" s="1"/>
  <c r="M55" i="4" a="1"/>
  <c r="M55" i="4" s="1"/>
  <c r="L55" i="4" a="1"/>
  <c r="L55" i="4" s="1"/>
  <c r="K55" i="4" a="1"/>
  <c r="K55" i="4" s="1"/>
  <c r="J55" i="4" a="1"/>
  <c r="J55" i="4" s="1"/>
  <c r="I55" i="4" a="1"/>
  <c r="I55" i="4" s="1"/>
  <c r="H55" i="4" a="1"/>
  <c r="H55" i="4" s="1"/>
  <c r="G55" i="4" a="1"/>
  <c r="G55" i="4" s="1"/>
  <c r="F55" i="4" a="1"/>
  <c r="F55" i="4" s="1"/>
  <c r="E55" i="4" a="1"/>
  <c r="E55" i="4" s="1"/>
  <c r="D55" i="4" a="1"/>
  <c r="D55" i="4" s="1"/>
  <c r="C55" i="4" a="1"/>
  <c r="C55" i="4" s="1"/>
  <c r="B55" i="4" a="1"/>
  <c r="B55" i="4" s="1"/>
  <c r="A55" i="4" a="1"/>
  <c r="A55" i="4" s="1"/>
  <c r="AK54" i="4" a="1"/>
  <c r="AK54" i="4" s="1"/>
  <c r="AJ54" i="4" a="1"/>
  <c r="AJ54" i="4" s="1"/>
  <c r="AI54" i="4" a="1"/>
  <c r="AI54" i="4" s="1"/>
  <c r="AH54" i="4" a="1"/>
  <c r="AH54" i="4" s="1"/>
  <c r="AG54" i="4" a="1"/>
  <c r="AG54" i="4" s="1"/>
  <c r="AF54" i="4" a="1"/>
  <c r="AF54" i="4" s="1"/>
  <c r="AE54" i="4" a="1"/>
  <c r="AE54" i="4" s="1"/>
  <c r="AD54" i="4" a="1"/>
  <c r="AD54" i="4" s="1"/>
  <c r="AC54" i="4" a="1"/>
  <c r="AC54" i="4" s="1"/>
  <c r="AB54" i="4" a="1"/>
  <c r="AB54" i="4" s="1"/>
  <c r="AA54" i="4" a="1"/>
  <c r="AA54" i="4" s="1"/>
  <c r="Z54" i="4" a="1"/>
  <c r="Z54" i="4" s="1"/>
  <c r="Y54" i="4" a="1"/>
  <c r="Y54" i="4" s="1"/>
  <c r="X54" i="4" a="1"/>
  <c r="X54" i="4" s="1"/>
  <c r="W54" i="4" a="1"/>
  <c r="W54" i="4" s="1"/>
  <c r="V54" i="4" a="1"/>
  <c r="V54" i="4" s="1"/>
  <c r="U54" i="4" a="1"/>
  <c r="U54" i="4" s="1"/>
  <c r="AI46" i="4" a="1"/>
  <c r="AI46" i="4" s="1"/>
  <c r="AH46" i="4" a="1"/>
  <c r="AH46" i="4" s="1"/>
  <c r="AG46" i="4" a="1"/>
  <c r="AG46" i="4" s="1"/>
  <c r="AF46" i="4" a="1"/>
  <c r="AF46" i="4" s="1"/>
  <c r="AE46" i="4" a="1"/>
  <c r="AE46" i="4" s="1"/>
  <c r="AD46" i="4" a="1"/>
  <c r="AD46" i="4" s="1"/>
  <c r="AC46" i="4" a="1"/>
  <c r="AC46" i="4" s="1"/>
  <c r="AB46" i="4" a="1"/>
  <c r="AB46" i="4" s="1"/>
  <c r="AA46" i="4" a="1"/>
  <c r="AA46" i="4" s="1"/>
  <c r="Z46" i="4" a="1"/>
  <c r="Z46" i="4" s="1"/>
  <c r="Y46" i="4" a="1"/>
  <c r="Y46" i="4" s="1"/>
  <c r="X46" i="4" a="1"/>
  <c r="X46" i="4" s="1"/>
  <c r="W46" i="4" a="1"/>
  <c r="W46" i="4" s="1"/>
  <c r="V46" i="4" a="1"/>
  <c r="V46" i="4" s="1"/>
  <c r="U46" i="4" a="1"/>
  <c r="U46" i="4" s="1"/>
  <c r="T46" i="4" a="1"/>
  <c r="T46" i="4" s="1"/>
  <c r="S46" i="4" a="1"/>
  <c r="S46" i="4" s="1"/>
  <c r="R46" i="4" a="1"/>
  <c r="R46" i="4" s="1"/>
  <c r="Q46" i="4" a="1"/>
  <c r="Q46" i="4" s="1"/>
  <c r="P46" i="4" a="1"/>
  <c r="P46" i="4" s="1"/>
  <c r="O46" i="4" a="1"/>
  <c r="O46" i="4" s="1"/>
  <c r="N46" i="4" a="1"/>
  <c r="N46" i="4" s="1"/>
  <c r="M46" i="4" a="1"/>
  <c r="M46" i="4" s="1"/>
  <c r="L46" i="4" a="1"/>
  <c r="L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D46" i="4" a="1"/>
  <c r="D46" i="4" s="1"/>
  <c r="C46" i="4" a="1"/>
  <c r="C46" i="4" s="1"/>
  <c r="B46" i="4" a="1"/>
  <c r="B46" i="4" s="1"/>
  <c r="A46" i="4" a="1"/>
  <c r="A46" i="4" s="1"/>
  <c r="AK45" i="4" a="1"/>
  <c r="AK45" i="4" s="1"/>
  <c r="AJ45" i="4" a="1"/>
  <c r="AJ45" i="4" s="1"/>
  <c r="AI45" i="4" a="1"/>
  <c r="AI45" i="4" s="1"/>
  <c r="AH45" i="4" a="1"/>
  <c r="AH45" i="4" s="1"/>
  <c r="AG45" i="4" a="1"/>
  <c r="AG45" i="4" s="1"/>
  <c r="AF45" i="4" a="1"/>
  <c r="AF45" i="4" s="1"/>
  <c r="AE45" i="4" a="1"/>
  <c r="AE45" i="4" s="1"/>
  <c r="AD45" i="4" a="1"/>
  <c r="AD45" i="4" s="1"/>
  <c r="AC45" i="4" a="1"/>
  <c r="AC45" i="4" s="1"/>
  <c r="AB45" i="4" a="1"/>
  <c r="AB45" i="4" s="1"/>
  <c r="AA45" i="4" a="1"/>
  <c r="AA45" i="4" s="1"/>
  <c r="Z45" i="4" a="1"/>
  <c r="Z45" i="4" s="1"/>
  <c r="Y45" i="4" a="1"/>
  <c r="Y45" i="4" s="1"/>
  <c r="X45" i="4" a="1"/>
  <c r="X45" i="4" s="1"/>
  <c r="W45" i="4" a="1"/>
  <c r="W45" i="4" s="1"/>
  <c r="V45" i="4" a="1"/>
  <c r="V45" i="4" s="1"/>
  <c r="U45" i="4" a="1"/>
  <c r="U45" i="4" s="1"/>
  <c r="T45" i="4" a="1"/>
  <c r="T45" i="4" s="1"/>
  <c r="S45" i="4" a="1"/>
  <c r="S45" i="4" s="1"/>
  <c r="R45" i="4" a="1"/>
  <c r="R45" i="4" s="1"/>
  <c r="Q45" i="4" a="1"/>
  <c r="Q45" i="4" s="1"/>
  <c r="P45" i="4" a="1"/>
  <c r="P45" i="4" s="1"/>
  <c r="O45" i="4" a="1"/>
  <c r="O45" i="4" s="1"/>
  <c r="N45" i="4" a="1"/>
  <c r="N45" i="4" s="1"/>
  <c r="M45" i="4" a="1"/>
  <c r="M45" i="4" s="1"/>
  <c r="L45" i="4" a="1"/>
  <c r="L45" i="4" s="1"/>
  <c r="K45" i="4" a="1"/>
  <c r="K45" i="4" s="1"/>
  <c r="J45" i="4" a="1"/>
  <c r="J45" i="4" s="1"/>
  <c r="I45" i="4" a="1"/>
  <c r="I45" i="4" s="1"/>
  <c r="H45" i="4" a="1"/>
  <c r="H45" i="4" s="1"/>
  <c r="G45" i="4" a="1"/>
  <c r="G45" i="4" s="1"/>
  <c r="F45" i="4" a="1"/>
  <c r="F45" i="4" s="1"/>
  <c r="E45" i="4" a="1"/>
  <c r="E45" i="4" s="1"/>
  <c r="D45" i="4" a="1"/>
  <c r="D45" i="4" s="1"/>
  <c r="C45" i="4" a="1"/>
  <c r="C45" i="4" s="1"/>
  <c r="B45" i="4" a="1"/>
  <c r="B45" i="4" s="1"/>
  <c r="A45" i="4" a="1"/>
  <c r="A45" i="4" s="1"/>
  <c r="AK44" i="4" a="1"/>
  <c r="AK44" i="4" s="1"/>
  <c r="AJ44" i="4" a="1"/>
  <c r="AJ44" i="4" s="1"/>
  <c r="AI44" i="4" a="1"/>
  <c r="AI44" i="4" s="1"/>
  <c r="AH44" i="4" a="1"/>
  <c r="AH44" i="4" s="1"/>
  <c r="AG44" i="4" a="1"/>
  <c r="AG44" i="4" s="1"/>
  <c r="AF44" i="4" a="1"/>
  <c r="AF44" i="4" s="1"/>
  <c r="AE44" i="4" a="1"/>
  <c r="AE44" i="4" s="1"/>
  <c r="AD44" i="4" a="1"/>
  <c r="AD44" i="4" s="1"/>
  <c r="AC44" i="4" a="1"/>
  <c r="AC44" i="4" s="1"/>
  <c r="AB44" i="4" a="1"/>
  <c r="AB44" i="4" s="1"/>
  <c r="AA44" i="4" a="1"/>
  <c r="AA44" i="4" s="1"/>
  <c r="Z44" i="4" a="1"/>
  <c r="Z44" i="4" s="1"/>
  <c r="D37" i="4" a="1"/>
  <c r="D37" i="4" s="1"/>
  <c r="B37" i="4" a="1"/>
  <c r="B37" i="4" s="1"/>
  <c r="A37" i="4" a="1"/>
  <c r="A37" i="4" s="1"/>
  <c r="AK36" i="4" a="1"/>
  <c r="AK36" i="4" s="1"/>
  <c r="AJ36" i="4" a="1"/>
  <c r="AJ36" i="4" s="1"/>
  <c r="AI36" i="4" a="1"/>
  <c r="AI36" i="4" s="1"/>
  <c r="AH36" i="4" a="1"/>
  <c r="AH36" i="4" s="1"/>
  <c r="AG36" i="4" a="1"/>
  <c r="AG36" i="4" s="1"/>
  <c r="AF36" i="4" a="1"/>
  <c r="AF36" i="4" s="1"/>
  <c r="AE36" i="4" a="1"/>
  <c r="AE36" i="4" s="1"/>
  <c r="AD36" i="4" a="1"/>
  <c r="AD36" i="4" s="1"/>
  <c r="AC36" i="4" a="1"/>
  <c r="AC36" i="4" s="1"/>
  <c r="AB36" i="4" a="1"/>
  <c r="AB36" i="4" s="1"/>
  <c r="AA36" i="4" a="1"/>
  <c r="AA36" i="4" s="1"/>
  <c r="Z36" i="4" a="1"/>
  <c r="Z36" i="4" s="1"/>
  <c r="Y36" i="4" a="1"/>
  <c r="Y36" i="4" s="1"/>
  <c r="X36" i="4" a="1"/>
  <c r="X36" i="4" s="1"/>
  <c r="W36" i="4" a="1"/>
  <c r="W36" i="4" s="1"/>
  <c r="V36" i="4" a="1"/>
  <c r="V36" i="4" s="1"/>
  <c r="U36" i="4" a="1"/>
  <c r="U36" i="4" s="1"/>
  <c r="T36" i="4" a="1"/>
  <c r="T36" i="4" s="1"/>
  <c r="S36" i="4" a="1"/>
  <c r="S36" i="4" s="1"/>
  <c r="R36" i="4" a="1"/>
  <c r="R36" i="4" s="1"/>
  <c r="Q36" i="4" a="1"/>
  <c r="Q36" i="4" s="1"/>
  <c r="P36" i="4" a="1"/>
  <c r="P36" i="4" s="1"/>
  <c r="H27" i="4" a="1"/>
  <c r="H27" i="4" s="1"/>
  <c r="G27" i="4" a="1"/>
  <c r="G27" i="4" s="1"/>
  <c r="F27" i="4" a="1"/>
  <c r="F27" i="4" s="1"/>
  <c r="E27" i="4" a="1"/>
  <c r="E27" i="4" s="1"/>
  <c r="D27" i="4" a="1"/>
  <c r="D27" i="4" s="1"/>
  <c r="B27" i="4" a="1"/>
  <c r="B27" i="4" s="1"/>
  <c r="A27" i="4" a="1"/>
  <c r="A27" i="4" s="1"/>
  <c r="AK26" i="4" a="1"/>
  <c r="AK26" i="4" s="1"/>
  <c r="AJ26" i="4" a="1"/>
  <c r="AJ26" i="4" s="1"/>
  <c r="AI26" i="4" a="1"/>
  <c r="AI26" i="4" s="1"/>
  <c r="AH26" i="4" a="1"/>
  <c r="AH26" i="4" s="1"/>
  <c r="AG26" i="4" a="1"/>
  <c r="AG26" i="4" s="1"/>
  <c r="AF26" i="4" a="1"/>
  <c r="AF26" i="4" s="1"/>
  <c r="AE26" i="4" a="1"/>
  <c r="AE26" i="4" s="1"/>
  <c r="AD26" i="4" a="1"/>
  <c r="AD26" i="4" s="1"/>
  <c r="AC26" i="4" a="1"/>
  <c r="AC26" i="4" s="1"/>
  <c r="AB26" i="4" a="1"/>
  <c r="AB26" i="4" s="1"/>
  <c r="AA26" i="4" a="1"/>
  <c r="AA26" i="4" s="1"/>
  <c r="Z26" i="4" a="1"/>
  <c r="Z26" i="4" s="1"/>
  <c r="Y26" i="4" a="1"/>
  <c r="Y26" i="4" s="1"/>
  <c r="X26" i="4" a="1"/>
  <c r="X26" i="4" s="1"/>
  <c r="W26" i="4" a="1"/>
  <c r="W26" i="4" s="1"/>
  <c r="V26" i="4" a="1"/>
  <c r="V26" i="4" s="1"/>
  <c r="U26" i="4" a="1"/>
  <c r="U26" i="4" s="1"/>
  <c r="T26" i="4" a="1"/>
  <c r="T26" i="4" s="1"/>
  <c r="S26" i="4" a="1"/>
  <c r="S26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F26" i="4" a="1"/>
  <c r="F26" i="4" s="1"/>
  <c r="E26" i="4" a="1"/>
  <c r="E26" i="4" s="1"/>
  <c r="D26" i="4" a="1"/>
  <c r="D26" i="4" s="1"/>
  <c r="C26" i="4" a="1"/>
  <c r="C26" i="4" s="1"/>
  <c r="B26" i="4" a="1"/>
  <c r="B26" i="4" s="1"/>
  <c r="A26" i="4" a="1"/>
  <c r="A26" i="4" s="1"/>
  <c r="AK25" i="4" a="1"/>
  <c r="AK25" i="4" s="1"/>
  <c r="AJ25" i="4" a="1"/>
  <c r="AJ25" i="4" s="1"/>
  <c r="AI25" i="4" a="1"/>
  <c r="AI25" i="4" s="1"/>
  <c r="AH25" i="4" a="1"/>
  <c r="AH25" i="4" s="1"/>
  <c r="AG25" i="4" a="1"/>
  <c r="AG25" i="4" s="1"/>
  <c r="AF25" i="4" a="1"/>
  <c r="AF25" i="4" s="1"/>
  <c r="AE25" i="4" a="1"/>
  <c r="AE25" i="4" s="1"/>
  <c r="AD25" i="4" a="1"/>
  <c r="AD25" i="4" s="1"/>
  <c r="AC25" i="4" a="1"/>
  <c r="AC25" i="4" s="1"/>
  <c r="AB25" i="4" a="1"/>
  <c r="AB25" i="4" s="1"/>
  <c r="AA25" i="4" a="1"/>
  <c r="AA25" i="4" s="1"/>
  <c r="Z25" i="4" a="1"/>
  <c r="Z25" i="4" s="1"/>
  <c r="Y25" i="4" a="1"/>
  <c r="Y25" i="4" s="1"/>
  <c r="X25" i="4" a="1"/>
  <c r="X25" i="4" s="1"/>
  <c r="W25" i="4" a="1"/>
  <c r="W25" i="4" s="1"/>
  <c r="V25" i="4" a="1"/>
  <c r="V25" i="4" s="1"/>
  <c r="U25" i="4" a="1"/>
  <c r="U25" i="4" s="1"/>
  <c r="T25" i="4" a="1"/>
  <c r="T25" i="4" s="1"/>
  <c r="S25" i="4" a="1"/>
  <c r="S25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F25" i="4" a="1"/>
  <c r="F25" i="4" s="1"/>
  <c r="E25" i="4" a="1"/>
  <c r="E25" i="4" s="1"/>
  <c r="D25" i="4" a="1"/>
  <c r="D25" i="4" s="1"/>
  <c r="C25" i="4" a="1"/>
  <c r="C25" i="4" s="1"/>
  <c r="B25" i="4" a="1"/>
  <c r="B25" i="4" s="1"/>
  <c r="A25" i="4" a="1"/>
  <c r="A25" i="4" s="1"/>
  <c r="A24" i="4" a="1"/>
  <c r="A24" i="4" s="1"/>
  <c r="A23" i="4" a="1"/>
  <c r="A23" i="4" s="1"/>
  <c r="A22" i="4" a="1"/>
  <c r="A22" i="4" s="1"/>
  <c r="BV62" i="5"/>
  <c r="BS62" i="5"/>
  <c r="AK62" i="5"/>
  <c r="AI62" i="5"/>
  <c r="AH62" i="5"/>
  <c r="AF62" i="5"/>
  <c r="AE62" i="5"/>
  <c r="AC62" i="5"/>
  <c r="AB62" i="5"/>
  <c r="Z62" i="5"/>
  <c r="Y62" i="5"/>
  <c r="X62" i="5"/>
  <c r="V62" i="5"/>
  <c r="U62" i="5"/>
  <c r="S62" i="5"/>
  <c r="R62" i="5"/>
  <c r="P62" i="5"/>
  <c r="O62" i="5"/>
  <c r="M62" i="5"/>
  <c r="L62" i="5"/>
  <c r="K62" i="5"/>
  <c r="J62" i="5"/>
  <c r="I62" i="5"/>
  <c r="H62" i="5"/>
  <c r="G62" i="5"/>
  <c r="F62" i="5"/>
  <c r="E62" i="5" a="1"/>
  <c r="E62" i="5" s="1"/>
  <c r="W62" i="5"/>
  <c r="AG62" i="5"/>
  <c r="BU62" i="5"/>
  <c r="BT62" i="5"/>
  <c r="BR62" i="5"/>
  <c r="BQ62" i="5"/>
  <c r="BP62" i="5"/>
  <c r="AJ62" i="5"/>
  <c r="AD62" i="5"/>
  <c r="AA62" i="5"/>
  <c r="T62" i="5"/>
  <c r="Q62" i="5"/>
  <c r="N62" i="5"/>
  <c r="BP17" i="5"/>
  <c r="BV17" i="5"/>
  <c r="C47" i="4" a="1"/>
  <c r="C47" i="4" s="1"/>
  <c r="C57" i="4" a="1"/>
  <c r="C57" i="4" s="1"/>
  <c r="B67" i="4" a="1"/>
  <c r="B67" i="4" s="1"/>
  <c r="C27" i="4" a="1"/>
  <c r="C27" i="4" s="1"/>
  <c r="C37" i="4" a="1"/>
  <c r="C37" i="4" s="1"/>
  <c r="B77" i="4" a="1"/>
  <c r="B77" i="4" s="1"/>
  <c r="BV82" i="5"/>
  <c r="BU82" i="5"/>
  <c r="BT82" i="5"/>
  <c r="BS82" i="5"/>
  <c r="BR82" i="5"/>
  <c r="BQ82" i="5"/>
  <c r="BP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 a="1"/>
  <c r="E82" i="5" s="1"/>
  <c r="D82" i="5" a="1"/>
  <c r="D82" i="5" s="1"/>
  <c r="C82" i="5" a="1"/>
  <c r="C82" i="5" s="1"/>
  <c r="B82" i="5" a="1"/>
  <c r="B82" i="5" s="1"/>
  <c r="BV81" i="5"/>
  <c r="BU81" i="5"/>
  <c r="BT81" i="5"/>
  <c r="BS81" i="5"/>
  <c r="BR81" i="5"/>
  <c r="BQ81" i="5"/>
  <c r="BP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 a="1"/>
  <c r="E81" i="5" s="1"/>
  <c r="D81" i="5" a="1"/>
  <c r="D81" i="5" s="1"/>
  <c r="C81" i="5" a="1"/>
  <c r="C81" i="5" s="1"/>
  <c r="B81" i="5" a="1"/>
  <c r="B81" i="5" s="1"/>
  <c r="BV80" i="5"/>
  <c r="BU80" i="5"/>
  <c r="BT80" i="5"/>
  <c r="BS80" i="5"/>
  <c r="BR80" i="5"/>
  <c r="BQ80" i="5"/>
  <c r="BP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 a="1"/>
  <c r="E80" i="5" s="1"/>
  <c r="D80" i="5" a="1"/>
  <c r="D80" i="5" s="1"/>
  <c r="C80" i="5" a="1"/>
  <c r="C80" i="5" s="1"/>
  <c r="B80" i="5" a="1"/>
  <c r="B80" i="5" s="1"/>
  <c r="BV79" i="5"/>
  <c r="BU79" i="5"/>
  <c r="BT79" i="5"/>
  <c r="BS79" i="5"/>
  <c r="BR79" i="5"/>
  <c r="BQ79" i="5"/>
  <c r="BP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 a="1"/>
  <c r="E79" i="5" s="1"/>
  <c r="D79" i="5" a="1"/>
  <c r="D79" i="5" s="1"/>
  <c r="C79" i="5" a="1"/>
  <c r="C79" i="5" s="1"/>
  <c r="B79" i="5" a="1"/>
  <c r="B79" i="5" s="1"/>
  <c r="BV78" i="5"/>
  <c r="BU78" i="5"/>
  <c r="BT78" i="5"/>
  <c r="BS78" i="5"/>
  <c r="BR78" i="5"/>
  <c r="BQ78" i="5"/>
  <c r="BP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 a="1"/>
  <c r="E78" i="5" s="1"/>
  <c r="D78" i="5" a="1"/>
  <c r="D78" i="5" s="1"/>
  <c r="C78" i="5" a="1"/>
  <c r="C78" i="5" s="1"/>
  <c r="B78" i="5" a="1"/>
  <c r="B78" i="5" s="1"/>
  <c r="BV77" i="5"/>
  <c r="BU77" i="5"/>
  <c r="BT77" i="5"/>
  <c r="BS77" i="5"/>
  <c r="BR77" i="5"/>
  <c r="BQ77" i="5"/>
  <c r="BP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 a="1"/>
  <c r="E77" i="5" s="1"/>
  <c r="D77" i="5" a="1"/>
  <c r="D77" i="5" s="1"/>
  <c r="C77" i="5" a="1"/>
  <c r="C77" i="5" s="1"/>
  <c r="B77" i="5" a="1"/>
  <c r="B77" i="5" s="1"/>
  <c r="BV76" i="5"/>
  <c r="BU76" i="5"/>
  <c r="BT76" i="5"/>
  <c r="BS76" i="5"/>
  <c r="BR76" i="5"/>
  <c r="BQ76" i="5"/>
  <c r="BP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 a="1"/>
  <c r="E76" i="5" s="1"/>
  <c r="D76" i="5" a="1"/>
  <c r="D76" i="5" s="1"/>
  <c r="C76" i="5" a="1"/>
  <c r="C76" i="5" s="1"/>
  <c r="B76" i="5" a="1"/>
  <c r="B76" i="5" s="1"/>
  <c r="BV75" i="5"/>
  <c r="BU75" i="5"/>
  <c r="BT75" i="5"/>
  <c r="BS75" i="5"/>
  <c r="BR75" i="5"/>
  <c r="BQ75" i="5"/>
  <c r="BP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 a="1"/>
  <c r="E75" i="5" s="1"/>
  <c r="D75" i="5" a="1"/>
  <c r="D75" i="5" s="1"/>
  <c r="C75" i="5" a="1"/>
  <c r="C75" i="5" s="1"/>
  <c r="B75" i="5" a="1"/>
  <c r="B75" i="5" s="1"/>
  <c r="BV74" i="5"/>
  <c r="BU74" i="5"/>
  <c r="BT74" i="5"/>
  <c r="BS74" i="5"/>
  <c r="BR74" i="5"/>
  <c r="BQ74" i="5"/>
  <c r="BP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 a="1"/>
  <c r="E74" i="5" s="1"/>
  <c r="D74" i="5" a="1"/>
  <c r="D74" i="5" s="1"/>
  <c r="C74" i="5" a="1"/>
  <c r="C74" i="5" s="1"/>
  <c r="B74" i="5" a="1"/>
  <c r="B74" i="5" s="1"/>
  <c r="BV73" i="5"/>
  <c r="BU73" i="5"/>
  <c r="BT73" i="5"/>
  <c r="BS73" i="5"/>
  <c r="BR73" i="5"/>
  <c r="BQ73" i="5"/>
  <c r="BP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 a="1"/>
  <c r="E73" i="5" s="1"/>
  <c r="D73" i="5" a="1"/>
  <c r="D73" i="5" s="1"/>
  <c r="C73" i="5" a="1"/>
  <c r="C73" i="5" s="1"/>
  <c r="B73" i="5" a="1"/>
  <c r="B73" i="5" s="1"/>
  <c r="BV72" i="5"/>
  <c r="BU72" i="5"/>
  <c r="BT72" i="5"/>
  <c r="BS72" i="5"/>
  <c r="BR72" i="5"/>
  <c r="BQ72" i="5"/>
  <c r="BP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 a="1"/>
  <c r="E72" i="5" s="1"/>
  <c r="D72" i="5" a="1"/>
  <c r="D72" i="5" s="1"/>
  <c r="C72" i="5" a="1"/>
  <c r="C72" i="5" s="1"/>
  <c r="B72" i="5" a="1"/>
  <c r="B72" i="5" s="1"/>
  <c r="BV71" i="5"/>
  <c r="BU71" i="5"/>
  <c r="BT71" i="5"/>
  <c r="BS71" i="5"/>
  <c r="BR71" i="5"/>
  <c r="BQ71" i="5"/>
  <c r="BP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 a="1"/>
  <c r="E71" i="5" s="1"/>
  <c r="D71" i="5" a="1"/>
  <c r="D71" i="5" s="1"/>
  <c r="C71" i="5" a="1"/>
  <c r="C71" i="5" s="1"/>
  <c r="B71" i="5" a="1"/>
  <c r="B71" i="5" s="1"/>
  <c r="BV70" i="5"/>
  <c r="BU70" i="5"/>
  <c r="BT70" i="5"/>
  <c r="BS70" i="5"/>
  <c r="BR70" i="5"/>
  <c r="BQ70" i="5"/>
  <c r="BP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 a="1"/>
  <c r="E70" i="5" s="1"/>
  <c r="D70" i="5" a="1"/>
  <c r="D70" i="5" s="1"/>
  <c r="C70" i="5" a="1"/>
  <c r="C70" i="5" s="1"/>
  <c r="B70" i="5" a="1"/>
  <c r="B70" i="5" s="1"/>
  <c r="BV69" i="5"/>
  <c r="BU69" i="5"/>
  <c r="BT69" i="5"/>
  <c r="BS69" i="5"/>
  <c r="BR69" i="5"/>
  <c r="BQ69" i="5"/>
  <c r="BP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 a="1"/>
  <c r="E69" i="5" s="1"/>
  <c r="D69" i="5" a="1"/>
  <c r="D69" i="5" s="1"/>
  <c r="C69" i="5" a="1"/>
  <c r="C69" i="5" s="1"/>
  <c r="B69" i="5" a="1"/>
  <c r="B69" i="5" s="1"/>
  <c r="BV68" i="5"/>
  <c r="BU68" i="5"/>
  <c r="BT68" i="5"/>
  <c r="BS68" i="5"/>
  <c r="BR68" i="5"/>
  <c r="BQ68" i="5"/>
  <c r="BP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 a="1"/>
  <c r="E68" i="5" s="1"/>
  <c r="D68" i="5" a="1"/>
  <c r="D68" i="5" s="1"/>
  <c r="C68" i="5" a="1"/>
  <c r="C68" i="5" s="1"/>
  <c r="B68" i="5" a="1"/>
  <c r="B68" i="5" s="1"/>
  <c r="BV67" i="5"/>
  <c r="BU67" i="5"/>
  <c r="BT67" i="5"/>
  <c r="BS67" i="5"/>
  <c r="BR67" i="5"/>
  <c r="BQ67" i="5"/>
  <c r="BP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 a="1"/>
  <c r="E67" i="5" s="1"/>
  <c r="D67" i="5" a="1"/>
  <c r="D67" i="5" s="1"/>
  <c r="C67" i="5" a="1"/>
  <c r="C67" i="5" s="1"/>
  <c r="B67" i="5" a="1"/>
  <c r="B67" i="5" s="1"/>
  <c r="BV66" i="5"/>
  <c r="BU66" i="5"/>
  <c r="BT66" i="5"/>
  <c r="BS66" i="5"/>
  <c r="BR66" i="5"/>
  <c r="BQ66" i="5"/>
  <c r="BP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 a="1"/>
  <c r="E66" i="5" s="1"/>
  <c r="D66" i="5" a="1"/>
  <c r="D66" i="5" s="1"/>
  <c r="C66" i="5" a="1"/>
  <c r="C66" i="5" s="1"/>
  <c r="B66" i="5" a="1"/>
  <c r="B66" i="5" s="1"/>
  <c r="BV65" i="5"/>
  <c r="BU65" i="5"/>
  <c r="BT65" i="5"/>
  <c r="BS65" i="5"/>
  <c r="BR65" i="5"/>
  <c r="BQ65" i="5"/>
  <c r="BP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 a="1"/>
  <c r="E65" i="5" s="1"/>
  <c r="D65" i="5" a="1"/>
  <c r="D65" i="5" s="1"/>
  <c r="C65" i="5" a="1"/>
  <c r="C65" i="5" s="1"/>
  <c r="B65" i="5" a="1"/>
  <c r="B65" i="5" s="1"/>
  <c r="BV64" i="5"/>
  <c r="BU64" i="5"/>
  <c r="BT64" i="5"/>
  <c r="BS64" i="5"/>
  <c r="BR64" i="5"/>
  <c r="BQ64" i="5"/>
  <c r="BP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 a="1"/>
  <c r="E64" i="5" s="1"/>
  <c r="D64" i="5" a="1"/>
  <c r="D64" i="5" s="1"/>
  <c r="C64" i="5" a="1"/>
  <c r="C64" i="5" s="1"/>
  <c r="B64" i="5" a="1"/>
  <c r="B64" i="5" s="1"/>
  <c r="BV63" i="5"/>
  <c r="BU63" i="5"/>
  <c r="BT63" i="5"/>
  <c r="BS63" i="5"/>
  <c r="BR63" i="5"/>
  <c r="BQ63" i="5"/>
  <c r="BP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 a="1"/>
  <c r="E63" i="5" s="1"/>
  <c r="D63" i="5" a="1"/>
  <c r="D63" i="5" s="1"/>
  <c r="C63" i="5" a="1"/>
  <c r="C63" i="5" s="1"/>
  <c r="B63" i="5" a="1"/>
  <c r="B63" i="5" s="1"/>
  <c r="B62" i="5" a="1"/>
  <c r="B62" i="5" s="1"/>
  <c r="C62" i="5" a="1"/>
  <c r="C62" i="5" s="1"/>
  <c r="D62" i="5" a="1"/>
  <c r="D62" i="5" s="1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BP61" i="5"/>
  <c r="BQ61" i="5"/>
  <c r="BR61" i="5"/>
  <c r="BS61" i="5"/>
  <c r="BT61" i="5"/>
  <c r="BU61" i="5"/>
  <c r="BV61" i="5"/>
  <c r="D61" i="5" a="1"/>
  <c r="D61" i="5" s="1"/>
  <c r="E61" i="5" a="1"/>
  <c r="E61" i="5" s="1"/>
  <c r="F61" i="5"/>
  <c r="C61" i="5" a="1"/>
  <c r="C61" i="5" s="1"/>
  <c r="B61" i="5" a="1"/>
  <c r="B61" i="5" s="1"/>
  <c r="BV60" i="5"/>
  <c r="BU60" i="5"/>
  <c r="BT60" i="5"/>
  <c r="BS60" i="5"/>
  <c r="BR60" i="5"/>
  <c r="BQ60" i="5"/>
  <c r="BP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 a="1"/>
  <c r="E60" i="5" s="1"/>
  <c r="D60" i="5" a="1"/>
  <c r="D60" i="5" s="1"/>
  <c r="C60" i="5" a="1"/>
  <c r="C60" i="5" s="1"/>
  <c r="B60" i="5" a="1"/>
  <c r="B60" i="5" s="1"/>
  <c r="AJ59" i="5"/>
  <c r="AK59" i="5"/>
  <c r="R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 a="1"/>
  <c r="E59" i="5" s="1"/>
  <c r="D59" i="5" a="1"/>
  <c r="D59" i="5" s="1"/>
  <c r="C59" i="5" a="1"/>
  <c r="C59" i="5" s="1"/>
  <c r="B59" i="5" a="1"/>
  <c r="B59" i="5" s="1"/>
  <c r="BP59" i="5"/>
  <c r="BQ59" i="5"/>
  <c r="BR59" i="5"/>
  <c r="BS59" i="5"/>
  <c r="BT59" i="5"/>
  <c r="BU59" i="5"/>
  <c r="BV59" i="5"/>
  <c r="P58" i="5"/>
  <c r="AG58" i="5"/>
  <c r="AI58" i="5"/>
  <c r="AJ58" i="5"/>
  <c r="AK58" i="5"/>
  <c r="AF58" i="5"/>
  <c r="B58" i="5" a="1"/>
  <c r="B58" i="5" s="1"/>
  <c r="C58" i="5" a="1"/>
  <c r="C58" i="5" s="1"/>
  <c r="D58" i="5" a="1"/>
  <c r="D58" i="5" s="1"/>
  <c r="E58" i="5" a="1"/>
  <c r="E58" i="5" s="1"/>
  <c r="F58" i="5"/>
  <c r="G58" i="5"/>
  <c r="H58" i="5"/>
  <c r="I58" i="5"/>
  <c r="J58" i="5"/>
  <c r="K58" i="5"/>
  <c r="L58" i="5"/>
  <c r="M58" i="5"/>
  <c r="N58" i="5"/>
  <c r="BV58" i="5"/>
  <c r="O58" i="5"/>
  <c r="BT58" i="5"/>
  <c r="BS58" i="5"/>
  <c r="BR58" i="5"/>
  <c r="BQ58" i="5"/>
  <c r="BP58" i="5"/>
  <c r="BU58" i="5"/>
  <c r="Q58" i="5"/>
  <c r="R58" i="5"/>
  <c r="S58" i="5"/>
  <c r="T58" i="5"/>
  <c r="U58" i="5"/>
  <c r="V58" i="5"/>
  <c r="AH58" i="5"/>
  <c r="W58" i="5"/>
  <c r="X58" i="5"/>
  <c r="Y58" i="5"/>
  <c r="Z58" i="5"/>
  <c r="AA58" i="5"/>
  <c r="AB58" i="5"/>
  <c r="AC58" i="5"/>
  <c r="AD58" i="5"/>
  <c r="AE58" i="5"/>
  <c r="R57" i="5"/>
  <c r="B57" i="5" a="1"/>
  <c r="B57" i="5" s="1"/>
  <c r="C57" i="5" a="1"/>
  <c r="C57" i="5" s="1"/>
  <c r="D57" i="5" a="1"/>
  <c r="D57" i="5" s="1"/>
  <c r="E57" i="5" a="1"/>
  <c r="E57" i="5" s="1"/>
  <c r="F57" i="5"/>
  <c r="G57" i="5"/>
  <c r="H57" i="5"/>
  <c r="I57" i="5"/>
  <c r="J57" i="5"/>
  <c r="K57" i="5"/>
  <c r="L57" i="5"/>
  <c r="M57" i="5"/>
  <c r="N57" i="5"/>
  <c r="O57" i="5"/>
  <c r="P57" i="5"/>
  <c r="Q57" i="5"/>
  <c r="S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BP57" i="5"/>
  <c r="BQ57" i="5"/>
  <c r="BR57" i="5"/>
  <c r="BS57" i="5"/>
  <c r="BT57" i="5"/>
  <c r="BU57" i="5"/>
  <c r="BV57" i="5"/>
  <c r="T57" i="5"/>
  <c r="BV56" i="5"/>
  <c r="BU56" i="5"/>
  <c r="BT56" i="5"/>
  <c r="BS56" i="5"/>
  <c r="BR56" i="5"/>
  <c r="BQ56" i="5"/>
  <c r="BP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 a="1"/>
  <c r="E56" i="5" s="1"/>
  <c r="D56" i="5" a="1"/>
  <c r="D56" i="5" s="1"/>
  <c r="C56" i="5" a="1"/>
  <c r="C56" i="5" s="1"/>
  <c r="B56" i="5" a="1"/>
  <c r="B56" i="5" s="1"/>
  <c r="BV55" i="5"/>
  <c r="BU55" i="5"/>
  <c r="BT55" i="5"/>
  <c r="BS55" i="5"/>
  <c r="BR55" i="5"/>
  <c r="BQ55" i="5"/>
  <c r="BP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 a="1"/>
  <c r="E55" i="5" s="1"/>
  <c r="D55" i="5" a="1"/>
  <c r="D55" i="5" s="1"/>
  <c r="C55" i="5" a="1"/>
  <c r="C55" i="5" s="1"/>
  <c r="B55" i="5" a="1"/>
  <c r="B55" i="5" s="1"/>
  <c r="T54" i="5"/>
  <c r="U54" i="5"/>
  <c r="V54" i="5"/>
  <c r="W54" i="5"/>
  <c r="X54" i="5"/>
  <c r="Y54" i="5"/>
  <c r="AA54" i="5"/>
  <c r="Z54" i="5"/>
  <c r="AB54" i="5"/>
  <c r="AC54" i="5"/>
  <c r="AD54" i="5"/>
  <c r="AE54" i="5"/>
  <c r="AF54" i="5"/>
  <c r="AG54" i="5"/>
  <c r="AH54" i="5"/>
  <c r="AK54" i="5"/>
  <c r="AJ54" i="5"/>
  <c r="AI54" i="5"/>
  <c r="BV54" i="5"/>
  <c r="BU54" i="5"/>
  <c r="BT54" i="5"/>
  <c r="BS54" i="5"/>
  <c r="BR54" i="5"/>
  <c r="BQ54" i="5"/>
  <c r="BP54" i="5"/>
  <c r="S54" i="5"/>
  <c r="B54" i="5" a="1"/>
  <c r="B54" i="5" s="1"/>
  <c r="C54" i="5" a="1"/>
  <c r="C54" i="5" s="1"/>
  <c r="D54" i="5" a="1"/>
  <c r="D54" i="5" s="1"/>
  <c r="E54" i="5" a="1"/>
  <c r="E54" i="5" s="1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 a="1"/>
  <c r="E53" i="5" s="1"/>
  <c r="D53" i="5" a="1"/>
  <c r="D53" i="5" s="1"/>
  <c r="C53" i="5" a="1"/>
  <c r="C53" i="5" s="1"/>
  <c r="B53" i="5" a="1"/>
  <c r="B53" i="5" s="1"/>
  <c r="BP53" i="5"/>
  <c r="BQ53" i="5"/>
  <c r="BR53" i="5"/>
  <c r="BS53" i="5"/>
  <c r="BT53" i="5"/>
  <c r="BU53" i="5"/>
  <c r="S53" i="5"/>
  <c r="R53" i="5"/>
  <c r="AK53" i="5"/>
  <c r="AI53" i="5"/>
  <c r="AJ53" i="5"/>
  <c r="BV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BT52" i="5"/>
  <c r="B52" i="5" a="1"/>
  <c r="B52" i="5" s="1"/>
  <c r="C52" i="5" a="1"/>
  <c r="C52" i="5" s="1"/>
  <c r="D52" i="5" a="1"/>
  <c r="D52" i="5" s="1"/>
  <c r="E52" i="5" a="1"/>
  <c r="E52" i="5" s="1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BP52" i="5"/>
  <c r="BQ52" i="5"/>
  <c r="BR52" i="5"/>
  <c r="BS52" i="5"/>
  <c r="BU52" i="5"/>
  <c r="BV52" i="5"/>
  <c r="AK51" i="5"/>
  <c r="BV51" i="5"/>
  <c r="BU51" i="5"/>
  <c r="BT51" i="5"/>
  <c r="BS51" i="5"/>
  <c r="BR51" i="5"/>
  <c r="BQ51" i="5"/>
  <c r="BP51" i="5"/>
  <c r="C51" i="5" a="1"/>
  <c r="C51" i="5" s="1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 a="1"/>
  <c r="E51" i="5" s="1"/>
  <c r="D51" i="5" a="1"/>
  <c r="D51" i="5" s="1"/>
  <c r="B51" i="5" a="1"/>
  <c r="B51" i="5" s="1"/>
  <c r="B50" i="5" a="1"/>
  <c r="B50" i="5" s="1"/>
  <c r="BV50" i="5"/>
  <c r="BU50" i="5"/>
  <c r="BT50" i="5"/>
  <c r="BS50" i="5"/>
  <c r="BR50" i="5"/>
  <c r="BQ50" i="5"/>
  <c r="BP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 a="1"/>
  <c r="E50" i="5" s="1"/>
  <c r="D50" i="5" a="1"/>
  <c r="D50" i="5" s="1"/>
  <c r="C50" i="5" a="1"/>
  <c r="C50" i="5" s="1"/>
  <c r="BV49" i="5"/>
  <c r="BU49" i="5"/>
  <c r="BT49" i="5"/>
  <c r="BS49" i="5"/>
  <c r="BR49" i="5"/>
  <c r="BQ49" i="5"/>
  <c r="BP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 a="1"/>
  <c r="E49" i="5" s="1"/>
  <c r="D49" i="5" a="1"/>
  <c r="D49" i="5" s="1"/>
  <c r="C49" i="5" a="1"/>
  <c r="C49" i="5" s="1"/>
  <c r="B49" i="5" a="1"/>
  <c r="B49" i="5" s="1"/>
  <c r="BV48" i="5"/>
  <c r="BU48" i="5"/>
  <c r="BT48" i="5"/>
  <c r="BS48" i="5"/>
  <c r="BR48" i="5"/>
  <c r="BQ48" i="5"/>
  <c r="BP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 a="1"/>
  <c r="E48" i="5" s="1"/>
  <c r="D48" i="5" a="1"/>
  <c r="D48" i="5" s="1"/>
  <c r="C48" i="5" a="1"/>
  <c r="C48" i="5" s="1"/>
  <c r="B48" i="5" a="1"/>
  <c r="B48" i="5" s="1"/>
  <c r="T47" i="5"/>
  <c r="BV47" i="5"/>
  <c r="BU47" i="5"/>
  <c r="BT47" i="5"/>
  <c r="BS47" i="5"/>
  <c r="BR47" i="5"/>
  <c r="BQ47" i="5"/>
  <c r="BP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 a="1"/>
  <c r="E47" i="5" s="1"/>
  <c r="D47" i="5" a="1"/>
  <c r="D47" i="5" s="1"/>
  <c r="C47" i="5" a="1"/>
  <c r="C47" i="5" s="1"/>
  <c r="B47" i="5" a="1"/>
  <c r="B47" i="5" s="1"/>
  <c r="AJ46" i="5"/>
  <c r="B46" i="5" a="1"/>
  <c r="B46" i="5" s="1"/>
  <c r="C46" i="5" a="1"/>
  <c r="C46" i="5" s="1"/>
  <c r="D46" i="5" a="1"/>
  <c r="D46" i="5" s="1"/>
  <c r="E46" i="5" a="1"/>
  <c r="E46" i="5" s="1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K46" i="5"/>
  <c r="AA46" i="5"/>
  <c r="AB46" i="5"/>
  <c r="AC46" i="5"/>
  <c r="AD46" i="5"/>
  <c r="AE46" i="5"/>
  <c r="AF46" i="5"/>
  <c r="AG46" i="5"/>
  <c r="AH46" i="5"/>
  <c r="AI46" i="5"/>
  <c r="BP46" i="5"/>
  <c r="BQ46" i="5"/>
  <c r="BR46" i="5"/>
  <c r="BS46" i="5"/>
  <c r="BT46" i="5"/>
  <c r="BU46" i="5"/>
  <c r="BV46" i="5"/>
  <c r="BP45" i="5"/>
  <c r="BQ45" i="5"/>
  <c r="BR45" i="5"/>
  <c r="BS45" i="5"/>
  <c r="BT45" i="5"/>
  <c r="BU45" i="5"/>
  <c r="BV45" i="5"/>
  <c r="AB45" i="5"/>
  <c r="B45" i="5" a="1"/>
  <c r="B45" i="5" s="1"/>
  <c r="C45" i="5" a="1"/>
  <c r="C45" i="5" s="1"/>
  <c r="D45" i="5" a="1"/>
  <c r="D45" i="5" s="1"/>
  <c r="E45" i="5" a="1"/>
  <c r="E45" i="5" s="1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C45" i="5"/>
  <c r="AD45" i="5"/>
  <c r="AE45" i="5"/>
  <c r="AF45" i="5"/>
  <c r="AG45" i="5"/>
  <c r="AH45" i="5"/>
  <c r="AI45" i="5"/>
  <c r="AJ45" i="5"/>
  <c r="AK45" i="5"/>
  <c r="BV44" i="5"/>
  <c r="B44" i="5" a="1"/>
  <c r="B44" i="5" s="1"/>
  <c r="C44" i="5" a="1"/>
  <c r="C44" i="5" s="1"/>
  <c r="D44" i="5" a="1"/>
  <c r="D44" i="5" s="1"/>
  <c r="G44" i="5"/>
  <c r="F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E44" i="5" a="1"/>
  <c r="E44" i="5" s="1"/>
  <c r="P44" i="5"/>
  <c r="O44" i="5"/>
  <c r="N44" i="5"/>
  <c r="M44" i="5"/>
  <c r="L44" i="5"/>
  <c r="K44" i="5"/>
  <c r="J44" i="5"/>
  <c r="I44" i="5"/>
  <c r="H44" i="5"/>
  <c r="BU44" i="5"/>
  <c r="BT44" i="5"/>
  <c r="BS44" i="5"/>
  <c r="BR44" i="5"/>
  <c r="BQ44" i="5"/>
  <c r="BP44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BV43" i="5"/>
  <c r="BU43" i="5"/>
  <c r="BT43" i="5"/>
  <c r="BS43" i="5"/>
  <c r="BR43" i="5"/>
  <c r="BQ43" i="5"/>
  <c r="BP43" i="5"/>
  <c r="B43" i="5" a="1"/>
  <c r="B43" i="5" s="1"/>
  <c r="C43" i="5" a="1"/>
  <c r="C43" i="5" s="1"/>
  <c r="D43" i="5" a="1"/>
  <c r="D43" i="5" s="1"/>
  <c r="E43" i="5" a="1"/>
  <c r="E43" i="5" s="1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O42" i="5"/>
  <c r="P42" i="5"/>
  <c r="AK42" i="5"/>
  <c r="AJ42" i="5"/>
  <c r="AI42" i="5"/>
  <c r="AH42" i="5"/>
  <c r="AG42" i="5"/>
  <c r="AF42" i="5"/>
  <c r="AE42" i="5"/>
  <c r="AD42" i="5"/>
  <c r="AC42" i="5"/>
  <c r="AB42" i="5"/>
  <c r="AA42" i="5"/>
  <c r="Q42" i="5"/>
  <c r="Z42" i="5"/>
  <c r="Y42" i="5"/>
  <c r="X42" i="5"/>
  <c r="W42" i="5"/>
  <c r="V42" i="5"/>
  <c r="U42" i="5"/>
  <c r="T42" i="5"/>
  <c r="S42" i="5"/>
  <c r="R42" i="5"/>
  <c r="BV42" i="5"/>
  <c r="BT42" i="5"/>
  <c r="BU42" i="5"/>
  <c r="B42" i="5" a="1"/>
  <c r="B42" i="5" s="1"/>
  <c r="C42" i="5" a="1"/>
  <c r="C42" i="5" s="1"/>
  <c r="D42" i="5" a="1"/>
  <c r="D42" i="5" s="1"/>
  <c r="E42" i="5" a="1"/>
  <c r="E42" i="5" s="1"/>
  <c r="F42" i="5"/>
  <c r="G42" i="5"/>
  <c r="H42" i="5"/>
  <c r="I42" i="5"/>
  <c r="J42" i="5"/>
  <c r="K42" i="5"/>
  <c r="L42" i="5"/>
  <c r="M42" i="5"/>
  <c r="N42" i="5"/>
  <c r="BS42" i="5"/>
  <c r="BR42" i="5"/>
  <c r="BQ42" i="5"/>
  <c r="BP42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G41" i="5"/>
  <c r="F41" i="5"/>
  <c r="E41" i="5" a="1"/>
  <c r="E41" i="5" s="1"/>
  <c r="D41" i="5" a="1"/>
  <c r="D41" i="5" s="1"/>
  <c r="C41" i="5" a="1"/>
  <c r="C41" i="5" s="1"/>
  <c r="B41" i="5" a="1"/>
  <c r="B41" i="5" s="1"/>
  <c r="H41" i="5"/>
  <c r="BV41" i="5"/>
  <c r="BU41" i="5"/>
  <c r="BT41" i="5"/>
  <c r="BS41" i="5"/>
  <c r="BR41" i="5"/>
  <c r="BQ41" i="5"/>
  <c r="BP41" i="5"/>
  <c r="P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BS40" i="5"/>
  <c r="Q40" i="5"/>
  <c r="BR40" i="5"/>
  <c r="BQ40" i="5"/>
  <c r="BP40" i="5"/>
  <c r="BV40" i="5"/>
  <c r="BU40" i="5"/>
  <c r="BT40" i="5"/>
  <c r="B40" i="5" a="1"/>
  <c r="B40" i="5" s="1"/>
  <c r="C40" i="5" a="1"/>
  <c r="C40" i="5" s="1"/>
  <c r="D40" i="5" a="1"/>
  <c r="D40" i="5" s="1"/>
  <c r="E40" i="5" a="1"/>
  <c r="E40" i="5" s="1"/>
  <c r="F40" i="5"/>
  <c r="G40" i="5"/>
  <c r="H40" i="5"/>
  <c r="I40" i="5"/>
  <c r="J40" i="5"/>
  <c r="K40" i="5"/>
  <c r="L40" i="5"/>
  <c r="M40" i="5"/>
  <c r="N40" i="5"/>
  <c r="O40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 a="1"/>
  <c r="E39" i="5" s="1"/>
  <c r="D39" i="5" a="1"/>
  <c r="D39" i="5" s="1"/>
  <c r="C39" i="5" a="1"/>
  <c r="C39" i="5" s="1"/>
  <c r="B39" i="5" a="1"/>
  <c r="B39" i="5" s="1"/>
  <c r="BV39" i="5"/>
  <c r="BU39" i="5"/>
  <c r="BT39" i="5"/>
  <c r="BS39" i="5"/>
  <c r="BR39" i="5"/>
  <c r="BQ39" i="5"/>
  <c r="BP39" i="5"/>
  <c r="S38" i="5"/>
  <c r="C38" i="5" a="1"/>
  <c r="C38" i="5" s="1"/>
  <c r="B38" i="5" a="1"/>
  <c r="B38" i="5" s="1"/>
  <c r="D38" i="5" a="1"/>
  <c r="D38" i="5" s="1"/>
  <c r="E38" i="5" a="1"/>
  <c r="E38" i="5" s="1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BP38" i="5"/>
  <c r="BQ38" i="5"/>
  <c r="BR38" i="5"/>
  <c r="BS38" i="5"/>
  <c r="BT38" i="5"/>
  <c r="BU38" i="5"/>
  <c r="BV38" i="5"/>
  <c r="C37" i="5" a="1"/>
  <c r="C37" i="5" s="1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 a="1"/>
  <c r="E37" i="5" s="1"/>
  <c r="D37" i="5" a="1"/>
  <c r="D37" i="5" s="1"/>
  <c r="U37" i="5"/>
  <c r="B37" i="5" a="1"/>
  <c r="B37" i="5" s="1"/>
  <c r="BV37" i="5"/>
  <c r="BU37" i="5"/>
  <c r="BT37" i="5"/>
  <c r="BS37" i="5"/>
  <c r="BP37" i="5"/>
  <c r="BQ37" i="5"/>
  <c r="BR37" i="5"/>
  <c r="X36" i="5"/>
  <c r="BP36" i="5"/>
  <c r="BV36" i="5"/>
  <c r="BU36" i="5"/>
  <c r="BT36" i="5"/>
  <c r="BS36" i="5"/>
  <c r="BR36" i="5"/>
  <c r="B36" i="5" a="1"/>
  <c r="B36" i="5" s="1"/>
  <c r="C36" i="5" a="1"/>
  <c r="C36" i="5" s="1"/>
  <c r="D36" i="5" a="1"/>
  <c r="D36" i="5" s="1"/>
  <c r="F36" i="5"/>
  <c r="G36" i="5"/>
  <c r="H36" i="5"/>
  <c r="I36" i="5"/>
  <c r="J36" i="5"/>
  <c r="K36" i="5"/>
  <c r="L36" i="5"/>
  <c r="M36" i="5"/>
  <c r="N36" i="5"/>
  <c r="O36" i="5"/>
  <c r="E36" i="5" a="1"/>
  <c r="E36" i="5" s="1"/>
  <c r="P36" i="5"/>
  <c r="Q36" i="5"/>
  <c r="R36" i="5"/>
  <c r="S36" i="5"/>
  <c r="T36" i="5"/>
  <c r="U36" i="5"/>
  <c r="V36" i="5"/>
  <c r="W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BQ36" i="5"/>
  <c r="BR35" i="5"/>
  <c r="BQ35" i="5"/>
  <c r="AH35" i="5"/>
  <c r="AI35" i="5"/>
  <c r="AJ35" i="5"/>
  <c r="AK35" i="5"/>
  <c r="BP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AG35" i="5"/>
  <c r="N35" i="5"/>
  <c r="L35" i="5"/>
  <c r="K35" i="5"/>
  <c r="J35" i="5"/>
  <c r="I35" i="5"/>
  <c r="H35" i="5"/>
  <c r="G35" i="5"/>
  <c r="F35" i="5"/>
  <c r="E35" i="5" a="1"/>
  <c r="E35" i="5" s="1"/>
  <c r="D35" i="5" a="1"/>
  <c r="D35" i="5" s="1"/>
  <c r="C35" i="5" a="1"/>
  <c r="C35" i="5" s="1"/>
  <c r="B35" i="5" a="1"/>
  <c r="B35" i="5" s="1"/>
  <c r="M35" i="5"/>
  <c r="BV35" i="5"/>
  <c r="BU35" i="5"/>
  <c r="BT35" i="5"/>
  <c r="BS35" i="5"/>
  <c r="BP34" i="5"/>
  <c r="BQ34" i="5"/>
  <c r="BR34" i="5"/>
  <c r="BS34" i="5"/>
  <c r="BT34" i="5"/>
  <c r="BU34" i="5"/>
  <c r="BV34" i="5"/>
  <c r="V34" i="5"/>
  <c r="B34" i="5" a="1"/>
  <c r="B34" i="5" s="1"/>
  <c r="C34" i="5" a="1"/>
  <c r="C34" i="5" s="1"/>
  <c r="D34" i="5" a="1"/>
  <c r="D34" i="5" s="1"/>
  <c r="E34" i="5" a="1"/>
  <c r="E34" i="5" s="1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N33" i="5"/>
  <c r="M33" i="5"/>
  <c r="L33" i="5"/>
  <c r="K33" i="5"/>
  <c r="J33" i="5"/>
  <c r="I33" i="5"/>
  <c r="H33" i="5"/>
  <c r="G33" i="5"/>
  <c r="F33" i="5"/>
  <c r="E33" i="5" a="1"/>
  <c r="E33" i="5" s="1"/>
  <c r="D33" i="5" a="1"/>
  <c r="D33" i="5" s="1"/>
  <c r="C33" i="5" a="1"/>
  <c r="C33" i="5" s="1"/>
  <c r="AE33" i="5"/>
  <c r="BV33" i="5"/>
  <c r="BU33" i="5"/>
  <c r="BT33" i="5"/>
  <c r="BS33" i="5"/>
  <c r="BR33" i="5"/>
  <c r="BQ33" i="5"/>
  <c r="BP33" i="5"/>
  <c r="B33" i="5" a="1"/>
  <c r="B33" i="5" s="1"/>
  <c r="AK33" i="5"/>
  <c r="AJ33" i="5"/>
  <c r="AI33" i="5"/>
  <c r="AH33" i="5"/>
  <c r="AG33" i="5"/>
  <c r="AF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B32" i="5" a="1"/>
  <c r="B32" i="5" s="1"/>
  <c r="C32" i="5" a="1"/>
  <c r="C32" i="5" s="1"/>
  <c r="D32" i="5" a="1"/>
  <c r="D32" i="5" s="1"/>
  <c r="E32" i="5" a="1"/>
  <c r="E32" i="5" s="1"/>
  <c r="F32" i="5"/>
  <c r="G32" i="5"/>
  <c r="H32" i="5"/>
  <c r="I32" i="5"/>
  <c r="J32" i="5"/>
  <c r="L32" i="5"/>
  <c r="M32" i="5"/>
  <c r="N32" i="5"/>
  <c r="O32" i="5"/>
  <c r="K32" i="5"/>
  <c r="BV32" i="5"/>
  <c r="BU32" i="5"/>
  <c r="BT32" i="5"/>
  <c r="BS32" i="5"/>
  <c r="BR32" i="5"/>
  <c r="BQ32" i="5"/>
  <c r="BP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BP31" i="5"/>
  <c r="BQ31" i="5"/>
  <c r="BR31" i="5"/>
  <c r="BS31" i="5"/>
  <c r="BT31" i="5"/>
  <c r="BU31" i="5"/>
  <c r="BV31" i="5"/>
  <c r="B31" i="5" a="1"/>
  <c r="B31" i="5" s="1"/>
  <c r="C31" i="5" a="1"/>
  <c r="C31" i="5" s="1"/>
  <c r="D31" i="5" a="1"/>
  <c r="D31" i="5" s="1"/>
  <c r="E31" i="5" a="1"/>
  <c r="E31" i="5" s="1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O30" i="5"/>
  <c r="B30" i="5" a="1"/>
  <c r="B30" i="5" s="1"/>
  <c r="N30" i="5"/>
  <c r="M30" i="5"/>
  <c r="L30" i="5"/>
  <c r="K30" i="5"/>
  <c r="J30" i="5"/>
  <c r="I30" i="5"/>
  <c r="H30" i="5"/>
  <c r="G30" i="5"/>
  <c r="F30" i="5"/>
  <c r="E30" i="5" a="1"/>
  <c r="E30" i="5" s="1"/>
  <c r="D30" i="5" a="1"/>
  <c r="D30" i="5" s="1"/>
  <c r="C30" i="5" a="1"/>
  <c r="C30" i="5" s="1"/>
  <c r="BV30" i="5"/>
  <c r="BU30" i="5"/>
  <c r="BT30" i="5"/>
  <c r="BS30" i="5"/>
  <c r="BR30" i="5"/>
  <c r="BQ30" i="5"/>
  <c r="BP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N29" i="5"/>
  <c r="M29" i="5"/>
  <c r="L29" i="5"/>
  <c r="K29" i="5"/>
  <c r="J29" i="5"/>
  <c r="I29" i="5"/>
  <c r="H29" i="5"/>
  <c r="G29" i="5"/>
  <c r="F29" i="5"/>
  <c r="E29" i="5" a="1"/>
  <c r="E29" i="5" s="1"/>
  <c r="D29" i="5" a="1"/>
  <c r="D29" i="5" s="1"/>
  <c r="C29" i="5" a="1"/>
  <c r="C29" i="5" s="1"/>
  <c r="B29" i="5" a="1"/>
  <c r="B29" i="5" s="1"/>
  <c r="BV29" i="5"/>
  <c r="BU29" i="5"/>
  <c r="BT29" i="5"/>
  <c r="BS29" i="5"/>
  <c r="BR29" i="5"/>
  <c r="BQ29" i="5"/>
  <c r="BP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O28" i="5"/>
  <c r="N28" i="5"/>
  <c r="M28" i="5"/>
  <c r="L28" i="5"/>
  <c r="K28" i="5"/>
  <c r="J28" i="5"/>
  <c r="I28" i="5"/>
  <c r="H28" i="5"/>
  <c r="G28" i="5"/>
  <c r="F28" i="5"/>
  <c r="E28" i="5" a="1"/>
  <c r="E28" i="5" s="1"/>
  <c r="D28" i="5" a="1"/>
  <c r="D28" i="5" s="1"/>
  <c r="C28" i="5" a="1"/>
  <c r="C28" i="5" s="1"/>
  <c r="B28" i="5" a="1"/>
  <c r="B28" i="5" s="1"/>
  <c r="BV28" i="5"/>
  <c r="BU28" i="5"/>
  <c r="BT28" i="5"/>
  <c r="BS28" i="5"/>
  <c r="BR28" i="5"/>
  <c r="BQ28" i="5"/>
  <c r="BP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7" i="5"/>
  <c r="N27" i="5"/>
  <c r="M27" i="5"/>
  <c r="L27" i="5"/>
  <c r="K27" i="5"/>
  <c r="J27" i="5"/>
  <c r="I27" i="5"/>
  <c r="H27" i="5"/>
  <c r="G27" i="5"/>
  <c r="F27" i="5"/>
  <c r="E27" i="5" a="1"/>
  <c r="E27" i="5" s="1"/>
  <c r="D27" i="5" a="1"/>
  <c r="D27" i="5" s="1"/>
  <c r="C27" i="5" a="1"/>
  <c r="C27" i="5" s="1"/>
  <c r="B27" i="5" a="1"/>
  <c r="B27" i="5" s="1"/>
  <c r="BV27" i="5"/>
  <c r="BU27" i="5"/>
  <c r="BT27" i="5"/>
  <c r="BS27" i="5"/>
  <c r="BR27" i="5"/>
  <c r="BQ27" i="5"/>
  <c r="BP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6" i="5"/>
  <c r="N26" i="5"/>
  <c r="M26" i="5"/>
  <c r="L26" i="5"/>
  <c r="K26" i="5"/>
  <c r="J26" i="5"/>
  <c r="I26" i="5"/>
  <c r="H26" i="5"/>
  <c r="G26" i="5"/>
  <c r="F26" i="5"/>
  <c r="E26" i="5" a="1"/>
  <c r="E26" i="5" s="1"/>
  <c r="D26" i="5" a="1"/>
  <c r="D26" i="5" s="1"/>
  <c r="C26" i="5" a="1"/>
  <c r="C26" i="5" s="1"/>
  <c r="B26" i="5" a="1"/>
  <c r="B26" i="5" s="1"/>
  <c r="BU26" i="5"/>
  <c r="BT26" i="5"/>
  <c r="BS26" i="5"/>
  <c r="BR26" i="5"/>
  <c r="BQ26" i="5"/>
  <c r="BP26" i="5"/>
  <c r="P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BV26" i="5"/>
  <c r="O25" i="5"/>
  <c r="N25" i="5"/>
  <c r="M25" i="5"/>
  <c r="L25" i="5"/>
  <c r="K25" i="5"/>
  <c r="J25" i="5"/>
  <c r="I25" i="5"/>
  <c r="H25" i="5"/>
  <c r="G25" i="5"/>
  <c r="F25" i="5"/>
  <c r="E25" i="5" a="1"/>
  <c r="E25" i="5" s="1"/>
  <c r="D25" i="5" a="1"/>
  <c r="D25" i="5" s="1"/>
  <c r="C25" i="5" a="1"/>
  <c r="C25" i="5" s="1"/>
  <c r="B25" i="5" a="1"/>
  <c r="B25" i="5" s="1"/>
  <c r="BV25" i="5"/>
  <c r="BU25" i="5"/>
  <c r="BT25" i="5"/>
  <c r="BS25" i="5"/>
  <c r="BR25" i="5"/>
  <c r="BQ25" i="5"/>
  <c r="BP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BR24" i="5"/>
  <c r="O24" i="5"/>
  <c r="N24" i="5"/>
  <c r="M24" i="5"/>
  <c r="L24" i="5"/>
  <c r="K24" i="5"/>
  <c r="J24" i="5"/>
  <c r="I24" i="5"/>
  <c r="H24" i="5"/>
  <c r="G24" i="5"/>
  <c r="B24" i="5" a="1"/>
  <c r="B24" i="5" s="1"/>
  <c r="C24" i="5" a="1"/>
  <c r="C24" i="5" s="1"/>
  <c r="F24" i="5"/>
  <c r="E24" i="5" a="1"/>
  <c r="E24" i="5" s="1"/>
  <c r="BV24" i="5"/>
  <c r="BU24" i="5"/>
  <c r="BT24" i="5"/>
  <c r="BS24" i="5"/>
  <c r="BQ24" i="5"/>
  <c r="BP24" i="5"/>
  <c r="D24" i="5" a="1"/>
  <c r="D24" i="5" s="1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BP23" i="5"/>
  <c r="BQ23" i="5"/>
  <c r="BR23" i="5"/>
  <c r="BS23" i="5"/>
  <c r="BT23" i="5"/>
  <c r="BU23" i="5"/>
  <c r="BV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 a="1"/>
  <c r="E23" i="5" s="1"/>
  <c r="D23" i="5" a="1"/>
  <c r="D23" i="5" s="1"/>
  <c r="C23" i="5" a="1"/>
  <c r="C23" i="5" s="1"/>
  <c r="B23" i="5" a="1"/>
  <c r="B23" i="5" s="1"/>
  <c r="BV22" i="5"/>
  <c r="BP22" i="5"/>
  <c r="E22" i="5" a="1"/>
  <c r="E22" i="5" s="1"/>
  <c r="D22" i="5" a="1"/>
  <c r="D22" i="5" s="1"/>
  <c r="C22" i="5" a="1"/>
  <c r="C22" i="5" s="1"/>
  <c r="AG24" i="4" s="1" a="1"/>
  <c r="AG24" i="4" s="1"/>
  <c r="B22" i="5" a="1"/>
  <c r="B22" i="5" s="1"/>
  <c r="B24" i="4" s="1" a="1"/>
  <c r="B24" i="4" s="1"/>
  <c r="B21" i="5" a="1"/>
  <c r="B21" i="5" s="1"/>
  <c r="B23" i="4" s="1" a="1"/>
  <c r="B23" i="4" s="1"/>
  <c r="C21" i="5" a="1"/>
  <c r="C21" i="5" s="1"/>
  <c r="AG23" i="4" s="1" a="1"/>
  <c r="AG23" i="4" s="1"/>
  <c r="D21" i="5" a="1"/>
  <c r="D21" i="5" s="1"/>
  <c r="E21" i="5" a="1"/>
  <c r="E21" i="5" s="1"/>
  <c r="BV21" i="5"/>
  <c r="BP21" i="5"/>
  <c r="BP20" i="5"/>
  <c r="BV20" i="5"/>
  <c r="B20" i="5" a="1"/>
  <c r="B20" i="5" s="1"/>
  <c r="B22" i="4" s="1" a="1"/>
  <c r="B22" i="4" s="1"/>
  <c r="C20" i="5" a="1"/>
  <c r="C20" i="5" s="1"/>
  <c r="AG22" i="4" s="1" a="1"/>
  <c r="AG22" i="4" s="1"/>
  <c r="D20" i="5" a="1"/>
  <c r="D20" i="5" s="1"/>
  <c r="E20" i="5" a="1"/>
  <c r="E20" i="5" s="1"/>
  <c r="B19" i="5" a="1"/>
  <c r="B19" i="5" s="1"/>
  <c r="B21" i="4" s="1" a="1"/>
  <c r="B21" i="4" s="1"/>
  <c r="C19" i="5" a="1"/>
  <c r="C19" i="5" s="1"/>
  <c r="AG21" i="4" s="1" a="1"/>
  <c r="AG21" i="4" s="1"/>
  <c r="D19" i="5" a="1"/>
  <c r="D19" i="5" s="1"/>
  <c r="E19" i="5" a="1"/>
  <c r="E19" i="5" s="1"/>
  <c r="BV19" i="5"/>
  <c r="BP19" i="5"/>
  <c r="B18" i="5" a="1"/>
  <c r="B18" i="5" s="1"/>
  <c r="B20" i="4" s="1" a="1"/>
  <c r="B20" i="4" s="1"/>
  <c r="D18" i="5" a="1"/>
  <c r="D18" i="5" s="1"/>
  <c r="AH20" i="4" s="1" a="1"/>
  <c r="AH20" i="4" s="1"/>
  <c r="C18" i="5" a="1"/>
  <c r="C18" i="5" s="1"/>
  <c r="AG20" i="4" s="1" a="1"/>
  <c r="AG20" i="4" s="1"/>
  <c r="E18" i="5" a="1"/>
  <c r="E18" i="5" s="1"/>
  <c r="BV18" i="5"/>
  <c r="BR18" i="5"/>
  <c r="BP18" i="5"/>
  <c r="B17" i="5" a="1"/>
  <c r="B17" i="5" s="1"/>
  <c r="B19" i="4" s="1" a="1"/>
  <c r="B19" i="4" s="1"/>
  <c r="C17" i="5" a="1"/>
  <c r="C17" i="5" s="1"/>
  <c r="AG19" i="4" s="1" a="1"/>
  <c r="AG19" i="4" s="1"/>
  <c r="D17" i="5" a="1"/>
  <c r="D17" i="5" s="1"/>
  <c r="E17" i="5" a="1"/>
  <c r="E17" i="5" s="1"/>
  <c r="BP16" i="5"/>
  <c r="BV16" i="5"/>
  <c r="B16" i="5" a="1"/>
  <c r="B16" i="5" s="1"/>
  <c r="B18" i="4" s="1" a="1"/>
  <c r="B18" i="4" s="1"/>
  <c r="C16" i="5" a="1"/>
  <c r="C16" i="5" s="1"/>
  <c r="AG18" i="4" s="1" a="1"/>
  <c r="AG18" i="4" s="1"/>
  <c r="D16" i="5" a="1"/>
  <c r="D16" i="5" s="1"/>
  <c r="E16" i="5" a="1"/>
  <c r="E16" i="5" s="1"/>
  <c r="BP15" i="5"/>
  <c r="BV15" i="5"/>
  <c r="E15" i="5" a="1"/>
  <c r="E15" i="5" s="1"/>
  <c r="D15" i="5" a="1"/>
  <c r="D15" i="5" s="1"/>
  <c r="AH17" i="4" s="1" a="1"/>
  <c r="AH17" i="4" s="1"/>
  <c r="C15" i="5" a="1"/>
  <c r="C15" i="5" s="1"/>
  <c r="AG17" i="4" s="1" a="1"/>
  <c r="AG17" i="4" s="1"/>
  <c r="B15" i="5" a="1"/>
  <c r="B15" i="5" s="1"/>
  <c r="B17" i="4" s="1" a="1"/>
  <c r="B17" i="4" s="1"/>
  <c r="BR15" i="5"/>
  <c r="E14" i="5" a="1"/>
  <c r="E14" i="5" s="1"/>
  <c r="BQ14" i="5" s="1"/>
  <c r="D14" i="5" a="1"/>
  <c r="D14" i="5" s="1"/>
  <c r="C14" i="5" a="1"/>
  <c r="C14" i="5" s="1"/>
  <c r="AG16" i="4" s="1" a="1"/>
  <c r="AG16" i="4" s="1"/>
  <c r="B14" i="5" a="1"/>
  <c r="B14" i="5" s="1"/>
  <c r="B16" i="4" s="1" a="1"/>
  <c r="B16" i="4" s="1"/>
  <c r="BV14" i="5"/>
  <c r="BP14" i="5"/>
  <c r="B13" i="5" a="1"/>
  <c r="B13" i="5" s="1"/>
  <c r="B15" i="4" s="1" a="1"/>
  <c r="B15" i="4" s="1"/>
  <c r="E13" i="5" a="1"/>
  <c r="E13" i="5" s="1"/>
  <c r="D13" i="5" a="1"/>
  <c r="D13" i="5" s="1"/>
  <c r="C13" i="5" a="1"/>
  <c r="C13" i="5" s="1"/>
  <c r="AG15" i="4" s="1" a="1"/>
  <c r="AG15" i="4" s="1"/>
  <c r="BP13" i="5"/>
  <c r="BV13" i="5"/>
  <c r="E12" i="5" a="1"/>
  <c r="E12" i="5" s="1"/>
  <c r="BP12" i="5"/>
  <c r="BV12" i="5"/>
  <c r="B12" i="5" a="1"/>
  <c r="B12" i="5" s="1"/>
  <c r="B14" i="4" s="1" a="1"/>
  <c r="B14" i="4" s="1"/>
  <c r="C12" i="5" a="1"/>
  <c r="C12" i="5" s="1"/>
  <c r="AG14" i="4" s="1" a="1"/>
  <c r="AG14" i="4" s="1"/>
  <c r="D12" i="5" a="1"/>
  <c r="D12" i="5" s="1"/>
  <c r="E11" i="5" a="1"/>
  <c r="E11" i="5" s="1"/>
  <c r="AI13" i="4" s="1" a="1"/>
  <c r="AI13" i="4" s="1"/>
  <c r="D11" i="5" a="1"/>
  <c r="D11" i="5" s="1"/>
  <c r="AH13" i="4" s="1" a="1"/>
  <c r="AH13" i="4" s="1"/>
  <c r="C11" i="5" a="1"/>
  <c r="C11" i="5" s="1"/>
  <c r="AG13" i="4" s="1" a="1"/>
  <c r="AG13" i="4" s="1"/>
  <c r="B11" i="5" a="1"/>
  <c r="B11" i="5" s="1"/>
  <c r="B13" i="4" s="1" a="1"/>
  <c r="B13" i="4" s="1"/>
  <c r="BV11" i="5"/>
  <c r="BR11" i="5"/>
  <c r="BQ11" i="5"/>
  <c r="BP11" i="5"/>
  <c r="BP10" i="5"/>
  <c r="BV10" i="5"/>
  <c r="B10" i="5" a="1"/>
  <c r="B10" i="5" s="1"/>
  <c r="B12" i="4" s="1" a="1"/>
  <c r="B12" i="4" s="1"/>
  <c r="C10" i="5" a="1"/>
  <c r="C10" i="5" s="1"/>
  <c r="AG12" i="4" s="1" a="1"/>
  <c r="AG12" i="4" s="1"/>
  <c r="D10" i="5" a="1"/>
  <c r="D10" i="5" s="1"/>
  <c r="E10" i="5" a="1"/>
  <c r="E10" i="5" s="1"/>
  <c r="E9" i="5" a="1"/>
  <c r="E9" i="5" s="1"/>
  <c r="BQ9" i="5" s="1"/>
  <c r="D9" i="5" a="1"/>
  <c r="D9" i="5" s="1"/>
  <c r="BR9" i="5" s="1"/>
  <c r="C9" i="5" a="1"/>
  <c r="C9" i="5" s="1"/>
  <c r="AG11" i="4" s="1" a="1"/>
  <c r="AG11" i="4" s="1"/>
  <c r="B9" i="5" a="1"/>
  <c r="B9" i="5" s="1"/>
  <c r="B11" i="4" s="1" a="1"/>
  <c r="B11" i="4" s="1"/>
  <c r="B80" i="3" a="1"/>
  <c r="B80" i="3" s="1"/>
  <c r="F80" i="3" a="1"/>
  <c r="F80" i="3" s="1"/>
  <c r="C80" i="3" a="1"/>
  <c r="C80" i="3" s="1"/>
  <c r="D80" i="3" a="1"/>
  <c r="D80" i="3" s="1"/>
  <c r="H80" i="3"/>
  <c r="E80" i="3" a="1"/>
  <c r="E80" i="3" s="1"/>
  <c r="G80" i="3"/>
  <c r="B79" i="3" a="1"/>
  <c r="B79" i="3" s="1"/>
  <c r="D79" i="3" a="1"/>
  <c r="D79" i="3" s="1"/>
  <c r="H79" i="3"/>
  <c r="E79" i="3" a="1"/>
  <c r="E79" i="3" s="1"/>
  <c r="F79" i="3" a="1"/>
  <c r="F79" i="3" s="1"/>
  <c r="C79" i="3" a="1"/>
  <c r="C79" i="3" s="1"/>
  <c r="G79" i="3"/>
  <c r="B78" i="3" a="1"/>
  <c r="B78" i="3" s="1"/>
  <c r="C78" i="3" a="1"/>
  <c r="C78" i="3" s="1"/>
  <c r="D78" i="3" a="1"/>
  <c r="D78" i="3" s="1"/>
  <c r="E78" i="3" a="1"/>
  <c r="E78" i="3" s="1"/>
  <c r="F78" i="3" a="1"/>
  <c r="F78" i="3" s="1"/>
  <c r="G78" i="3"/>
  <c r="H78" i="3"/>
  <c r="C77" i="3" a="1"/>
  <c r="C77" i="3" s="1"/>
  <c r="F77" i="3" a="1"/>
  <c r="F77" i="3" s="1"/>
  <c r="D77" i="3" a="1"/>
  <c r="D77" i="3" s="1"/>
  <c r="G77" i="3"/>
  <c r="B77" i="3" a="1"/>
  <c r="B77" i="3" s="1"/>
  <c r="H77" i="3"/>
  <c r="E77" i="3" a="1"/>
  <c r="E77" i="3" s="1"/>
  <c r="C76" i="3" a="1"/>
  <c r="C76" i="3" s="1"/>
  <c r="B76" i="3" a="1"/>
  <c r="B76" i="3" s="1"/>
  <c r="E76" i="3" a="1"/>
  <c r="E76" i="3" s="1"/>
  <c r="G76" i="3"/>
  <c r="D76" i="3" a="1"/>
  <c r="D76" i="3" s="1"/>
  <c r="F76" i="3" a="1"/>
  <c r="F76" i="3" s="1"/>
  <c r="H76" i="3"/>
  <c r="B75" i="3" a="1"/>
  <c r="B75" i="3" s="1"/>
  <c r="H75" i="3"/>
  <c r="C75" i="3" a="1"/>
  <c r="C75" i="3" s="1"/>
  <c r="D75" i="3" a="1"/>
  <c r="D75" i="3" s="1"/>
  <c r="E75" i="3" a="1"/>
  <c r="E75" i="3" s="1"/>
  <c r="F75" i="3" a="1"/>
  <c r="F75" i="3" s="1"/>
  <c r="G75" i="3"/>
  <c r="B74" i="3" a="1"/>
  <c r="B74" i="3" s="1"/>
  <c r="C74" i="3" a="1"/>
  <c r="C74" i="3" s="1"/>
  <c r="D74" i="3" a="1"/>
  <c r="D74" i="3" s="1"/>
  <c r="E74" i="3" a="1"/>
  <c r="E74" i="3" s="1"/>
  <c r="F74" i="3" a="1"/>
  <c r="F74" i="3" s="1"/>
  <c r="G74" i="3"/>
  <c r="H74" i="3"/>
  <c r="C73" i="3" a="1"/>
  <c r="C73" i="3" s="1"/>
  <c r="F73" i="3" a="1"/>
  <c r="F73" i="3" s="1"/>
  <c r="H73" i="3"/>
  <c r="B73" i="3" a="1"/>
  <c r="B73" i="3" s="1"/>
  <c r="E73" i="3" a="1"/>
  <c r="E73" i="3" s="1"/>
  <c r="D73" i="3" a="1"/>
  <c r="D73" i="3" s="1"/>
  <c r="G73" i="3"/>
  <c r="B72" i="3" a="1"/>
  <c r="B72" i="3" s="1"/>
  <c r="C72" i="3" a="1"/>
  <c r="C72" i="3" s="1"/>
  <c r="D72" i="3" a="1"/>
  <c r="D72" i="3" s="1"/>
  <c r="E72" i="3" a="1"/>
  <c r="E72" i="3" s="1"/>
  <c r="F72" i="3" a="1"/>
  <c r="F72" i="3" s="1"/>
  <c r="G72" i="3"/>
  <c r="H72" i="3"/>
  <c r="E71" i="3" a="1"/>
  <c r="E71" i="3" s="1"/>
  <c r="H71" i="3"/>
  <c r="C71" i="3" a="1"/>
  <c r="C71" i="3" s="1"/>
  <c r="G71" i="3"/>
  <c r="B71" i="3" a="1"/>
  <c r="B71" i="3" s="1"/>
  <c r="D71" i="3" a="1"/>
  <c r="D71" i="3" s="1"/>
  <c r="F71" i="3" a="1"/>
  <c r="F71" i="3" s="1"/>
  <c r="B70" i="3" a="1"/>
  <c r="B70" i="3" s="1"/>
  <c r="D70" i="3" a="1"/>
  <c r="D70" i="3" s="1"/>
  <c r="E70" i="3" a="1"/>
  <c r="E70" i="3" s="1"/>
  <c r="F70" i="3" a="1"/>
  <c r="F70" i="3" s="1"/>
  <c r="G70" i="3"/>
  <c r="H70" i="3"/>
  <c r="C70" i="3" a="1"/>
  <c r="C70" i="3" s="1"/>
  <c r="B69" i="3" a="1"/>
  <c r="B69" i="3" s="1"/>
  <c r="C69" i="3" a="1"/>
  <c r="C69" i="3" s="1"/>
  <c r="D69" i="3" a="1"/>
  <c r="D69" i="3" s="1"/>
  <c r="E69" i="3" a="1"/>
  <c r="E69" i="3" s="1"/>
  <c r="F69" i="3" a="1"/>
  <c r="F69" i="3" s="1"/>
  <c r="G69" i="3"/>
  <c r="H69" i="3"/>
  <c r="D68" i="3" a="1"/>
  <c r="D68" i="3" s="1"/>
  <c r="G68" i="3"/>
  <c r="B68" i="3" a="1"/>
  <c r="B68" i="3" s="1"/>
  <c r="F68" i="3" a="1"/>
  <c r="F68" i="3" s="1"/>
  <c r="C68" i="3" a="1"/>
  <c r="C68" i="3" s="1"/>
  <c r="E68" i="3" a="1"/>
  <c r="E68" i="3" s="1"/>
  <c r="H68" i="3"/>
  <c r="C67" i="3" a="1"/>
  <c r="C67" i="3" s="1"/>
  <c r="E67" i="3" a="1"/>
  <c r="E67" i="3" s="1"/>
  <c r="F67" i="3" a="1"/>
  <c r="F67" i="3" s="1"/>
  <c r="G67" i="3"/>
  <c r="H67" i="3"/>
  <c r="B67" i="3" a="1"/>
  <c r="B67" i="3" s="1"/>
  <c r="D67" i="3" a="1"/>
  <c r="D67" i="3" s="1"/>
  <c r="B66" i="3" a="1"/>
  <c r="B66" i="3" s="1"/>
  <c r="C66" i="3" a="1"/>
  <c r="C66" i="3" s="1"/>
  <c r="D66" i="3" a="1"/>
  <c r="D66" i="3" s="1"/>
  <c r="E66" i="3" a="1"/>
  <c r="E66" i="3" s="1"/>
  <c r="F66" i="3" a="1"/>
  <c r="F66" i="3" s="1"/>
  <c r="G66" i="3"/>
  <c r="H66" i="3"/>
  <c r="C65" i="3" a="1"/>
  <c r="C65" i="3" s="1"/>
  <c r="B65" i="3" a="1"/>
  <c r="B65" i="3" s="1"/>
  <c r="E65" i="3" a="1"/>
  <c r="E65" i="3" s="1"/>
  <c r="F65" i="3" a="1"/>
  <c r="F65" i="3" s="1"/>
  <c r="H65" i="3"/>
  <c r="D65" i="3" a="1"/>
  <c r="D65" i="3" s="1"/>
  <c r="G65" i="3"/>
  <c r="B64" i="3" a="1"/>
  <c r="B64" i="3" s="1"/>
  <c r="C64" i="3" a="1"/>
  <c r="C64" i="3" s="1"/>
  <c r="F64" i="3" a="1"/>
  <c r="F64" i="3" s="1"/>
  <c r="G64" i="3"/>
  <c r="H64" i="3"/>
  <c r="D64" i="3" a="1"/>
  <c r="D64" i="3" s="1"/>
  <c r="E64" i="3" a="1"/>
  <c r="E64" i="3" s="1"/>
  <c r="B63" i="3" a="1"/>
  <c r="B63" i="3" s="1"/>
  <c r="E63" i="3" a="1"/>
  <c r="E63" i="3" s="1"/>
  <c r="G63" i="3"/>
  <c r="H63" i="3"/>
  <c r="D63" i="3" a="1"/>
  <c r="D63" i="3" s="1"/>
  <c r="F63" i="3" a="1"/>
  <c r="F63" i="3" s="1"/>
  <c r="C63" i="3" a="1"/>
  <c r="C63" i="3" s="1"/>
  <c r="C62" i="3" a="1"/>
  <c r="C62" i="3" s="1"/>
  <c r="D62" i="3" a="1"/>
  <c r="D62" i="3" s="1"/>
  <c r="E62" i="3" a="1"/>
  <c r="E62" i="3" s="1"/>
  <c r="F62" i="3" a="1"/>
  <c r="F62" i="3" s="1"/>
  <c r="G62" i="3"/>
  <c r="H62" i="3"/>
  <c r="B62" i="3" a="1"/>
  <c r="B62" i="3" s="1"/>
  <c r="C61" i="3" a="1"/>
  <c r="C61" i="3" s="1"/>
  <c r="B61" i="3" a="1"/>
  <c r="B61" i="3" s="1"/>
  <c r="D61" i="3" a="1"/>
  <c r="D61" i="3" s="1"/>
  <c r="E61" i="3" a="1"/>
  <c r="E61" i="3" s="1"/>
  <c r="F61" i="3" a="1"/>
  <c r="F61" i="3" s="1"/>
  <c r="G61" i="3"/>
  <c r="H61" i="3"/>
  <c r="B60" i="3" a="1"/>
  <c r="B60" i="3" s="1"/>
  <c r="E60" i="3" a="1"/>
  <c r="E60" i="3" s="1"/>
  <c r="F60" i="3" a="1"/>
  <c r="F60" i="3" s="1"/>
  <c r="G60" i="3"/>
  <c r="H60" i="3"/>
  <c r="C60" i="3" a="1"/>
  <c r="C60" i="3" s="1"/>
  <c r="D60" i="3" a="1"/>
  <c r="D60" i="3" s="1"/>
  <c r="B59" i="3" a="1"/>
  <c r="B59" i="3" s="1"/>
  <c r="D59" i="3" a="1"/>
  <c r="D59" i="3" s="1"/>
  <c r="E59" i="3" a="1"/>
  <c r="E59" i="3" s="1"/>
  <c r="H59" i="3"/>
  <c r="C59" i="3" a="1"/>
  <c r="C59" i="3" s="1"/>
  <c r="F59" i="3" a="1"/>
  <c r="F59" i="3" s="1"/>
  <c r="G59" i="3"/>
  <c r="B58" i="3" a="1"/>
  <c r="B58" i="3" s="1"/>
  <c r="D58" i="3" a="1"/>
  <c r="D58" i="3" s="1"/>
  <c r="G58" i="3"/>
  <c r="C58" i="3" a="1"/>
  <c r="C58" i="3" s="1"/>
  <c r="E58" i="3" a="1"/>
  <c r="E58" i="3" s="1"/>
  <c r="F58" i="3" a="1"/>
  <c r="F58" i="3" s="1"/>
  <c r="H58" i="3"/>
  <c r="B57" i="3" a="1"/>
  <c r="B57" i="3" s="1"/>
  <c r="C57" i="3" a="1"/>
  <c r="C57" i="3" s="1"/>
  <c r="E57" i="3" a="1"/>
  <c r="E57" i="3" s="1"/>
  <c r="G57" i="3"/>
  <c r="H57" i="3"/>
  <c r="D57" i="3" a="1"/>
  <c r="D57" i="3" s="1"/>
  <c r="F57" i="3" a="1"/>
  <c r="F57" i="3" s="1"/>
  <c r="B56" i="3" a="1"/>
  <c r="B56" i="3" s="1"/>
  <c r="D56" i="3" a="1"/>
  <c r="D56" i="3" s="1"/>
  <c r="F56" i="3" a="1"/>
  <c r="F56" i="3" s="1"/>
  <c r="G56" i="3"/>
  <c r="C56" i="3" a="1"/>
  <c r="C56" i="3" s="1"/>
  <c r="E56" i="3" a="1"/>
  <c r="E56" i="3" s="1"/>
  <c r="H56" i="3"/>
  <c r="C55" i="3" a="1"/>
  <c r="C55" i="3" s="1"/>
  <c r="F55" i="3" a="1"/>
  <c r="F55" i="3" s="1"/>
  <c r="G55" i="3"/>
  <c r="H55" i="3"/>
  <c r="B55" i="3" a="1"/>
  <c r="B55" i="3" s="1"/>
  <c r="E55" i="3" a="1"/>
  <c r="E55" i="3" s="1"/>
  <c r="D55" i="3" a="1"/>
  <c r="D55" i="3" s="1"/>
  <c r="C54" i="3" a="1"/>
  <c r="C54" i="3" s="1"/>
  <c r="E54" i="3" a="1"/>
  <c r="E54" i="3" s="1"/>
  <c r="F54" i="3" a="1"/>
  <c r="F54" i="3" s="1"/>
  <c r="H54" i="3"/>
  <c r="D54" i="3" a="1"/>
  <c r="D54" i="3" s="1"/>
  <c r="G54" i="3"/>
  <c r="B54" i="3" a="1"/>
  <c r="B54" i="3" s="1"/>
  <c r="D53" i="3" a="1"/>
  <c r="D53" i="3" s="1"/>
  <c r="C53" i="3" a="1"/>
  <c r="C53" i="3" s="1"/>
  <c r="B53" i="3" a="1"/>
  <c r="B53" i="3" s="1"/>
  <c r="H52" i="3"/>
  <c r="G52" i="3"/>
  <c r="F52" i="3" a="1"/>
  <c r="F52" i="3" s="1"/>
  <c r="E52" i="3" a="1"/>
  <c r="E52" i="3" s="1"/>
  <c r="D52" i="3" a="1"/>
  <c r="D52" i="3" s="1"/>
  <c r="C52" i="3" a="1"/>
  <c r="C52" i="3" s="1"/>
  <c r="B52" i="3" a="1"/>
  <c r="B52" i="3" s="1"/>
  <c r="H51" i="3"/>
  <c r="G51" i="3"/>
  <c r="F51" i="3" a="1"/>
  <c r="F51" i="3" s="1"/>
  <c r="E51" i="3" a="1"/>
  <c r="E51" i="3" s="1"/>
  <c r="D51" i="3" a="1"/>
  <c r="D51" i="3" s="1"/>
  <c r="C51" i="3" a="1"/>
  <c r="C51" i="3" s="1"/>
  <c r="B51" i="3" a="1"/>
  <c r="B51" i="3" s="1"/>
  <c r="H50" i="3"/>
  <c r="G50" i="3"/>
  <c r="F50" i="3" a="1"/>
  <c r="F50" i="3" s="1"/>
  <c r="E50" i="3" a="1"/>
  <c r="E50" i="3" s="1"/>
  <c r="D50" i="3" a="1"/>
  <c r="D50" i="3" s="1"/>
  <c r="C50" i="3" a="1"/>
  <c r="C50" i="3" s="1"/>
  <c r="B50" i="3" a="1"/>
  <c r="B50" i="3" s="1"/>
  <c r="H49" i="3"/>
  <c r="G49" i="3"/>
  <c r="F49" i="3" a="1"/>
  <c r="F49" i="3" s="1"/>
  <c r="E49" i="3" a="1"/>
  <c r="E49" i="3" s="1"/>
  <c r="D49" i="3" a="1"/>
  <c r="D49" i="3" s="1"/>
  <c r="C49" i="3" a="1"/>
  <c r="C49" i="3" s="1"/>
  <c r="B49" i="3" a="1"/>
  <c r="B49" i="3" s="1"/>
  <c r="H48" i="3"/>
  <c r="G48" i="3"/>
  <c r="F48" i="3" a="1"/>
  <c r="F48" i="3" s="1"/>
  <c r="E48" i="3" a="1"/>
  <c r="E48" i="3" s="1"/>
  <c r="D48" i="3" a="1"/>
  <c r="D48" i="3" s="1"/>
  <c r="C48" i="3" a="1"/>
  <c r="C48" i="3" s="1"/>
  <c r="B48" i="3" a="1"/>
  <c r="B48" i="3" s="1"/>
  <c r="H47" i="3"/>
  <c r="G47" i="3"/>
  <c r="F47" i="3" a="1"/>
  <c r="F47" i="3" s="1"/>
  <c r="E47" i="3" a="1"/>
  <c r="E47" i="3" s="1"/>
  <c r="D47" i="3" a="1"/>
  <c r="D47" i="3" s="1"/>
  <c r="C47" i="3" a="1"/>
  <c r="C47" i="3" s="1"/>
  <c r="B47" i="3" a="1"/>
  <c r="B47" i="3" s="1"/>
  <c r="H46" i="3"/>
  <c r="G46" i="3"/>
  <c r="F46" i="3" a="1"/>
  <c r="F46" i="3" s="1"/>
  <c r="E46" i="3" a="1"/>
  <c r="E46" i="3" s="1"/>
  <c r="D46" i="3" a="1"/>
  <c r="D46" i="3" s="1"/>
  <c r="C46" i="3" a="1"/>
  <c r="C46" i="3" s="1"/>
  <c r="B46" i="3" a="1"/>
  <c r="B46" i="3" s="1"/>
  <c r="H45" i="3"/>
  <c r="G45" i="3"/>
  <c r="F45" i="3" a="1"/>
  <c r="F45" i="3" s="1"/>
  <c r="E45" i="3" a="1"/>
  <c r="E45" i="3" s="1"/>
  <c r="D45" i="3" a="1"/>
  <c r="D45" i="3" s="1"/>
  <c r="C45" i="3" a="1"/>
  <c r="C45" i="3" s="1"/>
  <c r="B45" i="3" a="1"/>
  <c r="B45" i="3" s="1"/>
  <c r="H44" i="3"/>
  <c r="G44" i="3"/>
  <c r="F44" i="3" a="1"/>
  <c r="F44" i="3" s="1"/>
  <c r="E44" i="3" a="1"/>
  <c r="E44" i="3" s="1"/>
  <c r="D44" i="3" a="1"/>
  <c r="D44" i="3" s="1"/>
  <c r="C44" i="3" a="1"/>
  <c r="C44" i="3" s="1"/>
  <c r="B44" i="3" a="1"/>
  <c r="B44" i="3" s="1"/>
  <c r="H43" i="3"/>
  <c r="G43" i="3"/>
  <c r="F43" i="3" a="1"/>
  <c r="F43" i="3" s="1"/>
  <c r="E43" i="3" a="1"/>
  <c r="E43" i="3" s="1"/>
  <c r="D43" i="3" a="1"/>
  <c r="D43" i="3" s="1"/>
  <c r="C43" i="3" a="1"/>
  <c r="C43" i="3" s="1"/>
  <c r="B43" i="3" a="1"/>
  <c r="B43" i="3" s="1"/>
  <c r="H42" i="3"/>
  <c r="G42" i="3"/>
  <c r="F42" i="3" a="1"/>
  <c r="F42" i="3" s="1"/>
  <c r="E42" i="3" a="1"/>
  <c r="E42" i="3" s="1"/>
  <c r="D42" i="3" a="1"/>
  <c r="D42" i="3" s="1"/>
  <c r="C42" i="3" a="1"/>
  <c r="C42" i="3" s="1"/>
  <c r="B42" i="3" a="1"/>
  <c r="B42" i="3" s="1"/>
  <c r="H41" i="3"/>
  <c r="G41" i="3"/>
  <c r="F41" i="3" a="1"/>
  <c r="F41" i="3" s="1"/>
  <c r="E41" i="3" a="1"/>
  <c r="E41" i="3" s="1"/>
  <c r="D41" i="3" a="1"/>
  <c r="D41" i="3" s="1"/>
  <c r="C41" i="3" a="1"/>
  <c r="C41" i="3" s="1"/>
  <c r="B41" i="3" a="1"/>
  <c r="B41" i="3" s="1"/>
  <c r="H40" i="3"/>
  <c r="G40" i="3"/>
  <c r="F40" i="3" a="1"/>
  <c r="F40" i="3" s="1"/>
  <c r="E40" i="3" a="1"/>
  <c r="E40" i="3" s="1"/>
  <c r="D40" i="3" a="1"/>
  <c r="D40" i="3" s="1"/>
  <c r="C40" i="3" a="1"/>
  <c r="C40" i="3" s="1"/>
  <c r="B40" i="3" a="1"/>
  <c r="B40" i="3" s="1"/>
  <c r="H39" i="3"/>
  <c r="G39" i="3"/>
  <c r="F39" i="3" a="1"/>
  <c r="F39" i="3" s="1"/>
  <c r="E39" i="3" a="1"/>
  <c r="E39" i="3" s="1"/>
  <c r="D39" i="3" a="1"/>
  <c r="D39" i="3" s="1"/>
  <c r="C39" i="3" a="1"/>
  <c r="C39" i="3" s="1"/>
  <c r="B39" i="3" a="1"/>
  <c r="B39" i="3" s="1"/>
  <c r="H38" i="3"/>
  <c r="G38" i="3"/>
  <c r="F38" i="3" a="1"/>
  <c r="F38" i="3" s="1"/>
  <c r="E38" i="3" a="1"/>
  <c r="E38" i="3" s="1"/>
  <c r="D38" i="3" a="1"/>
  <c r="D38" i="3" s="1"/>
  <c r="C38" i="3" a="1"/>
  <c r="C38" i="3" s="1"/>
  <c r="B38" i="3" a="1"/>
  <c r="B38" i="3" s="1"/>
  <c r="H37" i="3"/>
  <c r="G37" i="3"/>
  <c r="F37" i="3" a="1"/>
  <c r="F37" i="3" s="1"/>
  <c r="E37" i="3" a="1"/>
  <c r="E37" i="3" s="1"/>
  <c r="D37" i="3" a="1"/>
  <c r="D37" i="3" s="1"/>
  <c r="C37" i="3" a="1"/>
  <c r="C37" i="3" s="1"/>
  <c r="B37" i="3" a="1"/>
  <c r="B37" i="3" s="1"/>
  <c r="H36" i="3"/>
  <c r="G36" i="3"/>
  <c r="F36" i="3" a="1"/>
  <c r="F36" i="3" s="1"/>
  <c r="E36" i="3" a="1"/>
  <c r="E36" i="3" s="1"/>
  <c r="D36" i="3" a="1"/>
  <c r="D36" i="3" s="1"/>
  <c r="C36" i="3" a="1"/>
  <c r="C36" i="3" s="1"/>
  <c r="B36" i="3" a="1"/>
  <c r="B36" i="3" s="1"/>
  <c r="H35" i="3"/>
  <c r="G35" i="3"/>
  <c r="F35" i="3" a="1"/>
  <c r="F35" i="3" s="1"/>
  <c r="E35" i="3" a="1"/>
  <c r="E35" i="3" s="1"/>
  <c r="D35" i="3" a="1"/>
  <c r="D35" i="3" s="1"/>
  <c r="C35" i="3" a="1"/>
  <c r="C35" i="3" s="1"/>
  <c r="B35" i="3" a="1"/>
  <c r="B35" i="3" s="1"/>
  <c r="H34" i="3"/>
  <c r="G34" i="3"/>
  <c r="F34" i="3" a="1"/>
  <c r="F34" i="3" s="1"/>
  <c r="E34" i="3" a="1"/>
  <c r="E34" i="3" s="1"/>
  <c r="D34" i="3" a="1"/>
  <c r="D34" i="3" s="1"/>
  <c r="C34" i="3" a="1"/>
  <c r="C34" i="3" s="1"/>
  <c r="B34" i="3" a="1"/>
  <c r="B34" i="3" s="1"/>
  <c r="H33" i="3"/>
  <c r="G33" i="3"/>
  <c r="F33" i="3" a="1"/>
  <c r="F33" i="3" s="1"/>
  <c r="E33" i="3" a="1"/>
  <c r="E33" i="3" s="1"/>
  <c r="D33" i="3" a="1"/>
  <c r="D33" i="3" s="1"/>
  <c r="C33" i="3" a="1"/>
  <c r="C33" i="3" s="1"/>
  <c r="B33" i="3" a="1"/>
  <c r="B33" i="3" s="1"/>
  <c r="H32" i="3"/>
  <c r="G32" i="3"/>
  <c r="F32" i="3" a="1"/>
  <c r="F32" i="3" s="1"/>
  <c r="E32" i="3" a="1"/>
  <c r="E32" i="3" s="1"/>
  <c r="D32" i="3" a="1"/>
  <c r="D32" i="3" s="1"/>
  <c r="C32" i="3" a="1"/>
  <c r="C32" i="3" s="1"/>
  <c r="B32" i="3" a="1"/>
  <c r="B32" i="3" s="1"/>
  <c r="H31" i="3"/>
  <c r="G31" i="3"/>
  <c r="F31" i="3" a="1"/>
  <c r="F31" i="3" s="1"/>
  <c r="E31" i="3" a="1"/>
  <c r="E31" i="3" s="1"/>
  <c r="D31" i="3" a="1"/>
  <c r="D31" i="3" s="1"/>
  <c r="C31" i="3" a="1"/>
  <c r="C31" i="3" s="1"/>
  <c r="B31" i="3" a="1"/>
  <c r="B31" i="3" s="1"/>
  <c r="H30" i="3"/>
  <c r="G30" i="3"/>
  <c r="F30" i="3" a="1"/>
  <c r="F30" i="3" s="1"/>
  <c r="E30" i="3" a="1"/>
  <c r="E30" i="3" s="1"/>
  <c r="D30" i="3" a="1"/>
  <c r="D30" i="3" s="1"/>
  <c r="C30" i="3" a="1"/>
  <c r="C30" i="3" s="1"/>
  <c r="B30" i="3" a="1"/>
  <c r="B30" i="3" s="1"/>
  <c r="H29" i="3"/>
  <c r="G29" i="3"/>
  <c r="F29" i="3" a="1"/>
  <c r="F29" i="3" s="1"/>
  <c r="E29" i="3" a="1"/>
  <c r="E29" i="3" s="1"/>
  <c r="D29" i="3" a="1"/>
  <c r="D29" i="3" s="1"/>
  <c r="C29" i="3" a="1"/>
  <c r="C29" i="3" s="1"/>
  <c r="B29" i="3" a="1"/>
  <c r="B29" i="3" s="1"/>
  <c r="H28" i="3"/>
  <c r="G28" i="3"/>
  <c r="F28" i="3" a="1"/>
  <c r="F28" i="3" s="1"/>
  <c r="E28" i="3" a="1"/>
  <c r="E28" i="3" s="1"/>
  <c r="D28" i="3" a="1"/>
  <c r="D28" i="3" s="1"/>
  <c r="C28" i="3" a="1"/>
  <c r="C28" i="3" s="1"/>
  <c r="B28" i="3" a="1"/>
  <c r="B28" i="3" s="1"/>
  <c r="H27" i="3"/>
  <c r="G27" i="3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H26" i="3"/>
  <c r="G26" i="3"/>
  <c r="F26" i="3" a="1"/>
  <c r="F26" i="3" s="1"/>
  <c r="E26" i="3" a="1"/>
  <c r="E26" i="3" s="1"/>
  <c r="D26" i="3" a="1"/>
  <c r="D26" i="3" s="1"/>
  <c r="C26" i="3" a="1"/>
  <c r="C26" i="3" s="1"/>
  <c r="B26" i="3" a="1"/>
  <c r="B26" i="3" s="1"/>
  <c r="H25" i="3"/>
  <c r="G25" i="3"/>
  <c r="F25" i="3" a="1"/>
  <c r="F25" i="3" s="1"/>
  <c r="E25" i="3" a="1"/>
  <c r="E25" i="3" s="1"/>
  <c r="D25" i="3" a="1"/>
  <c r="D25" i="3" s="1"/>
  <c r="C25" i="3" a="1"/>
  <c r="C25" i="3" s="1"/>
  <c r="B25" i="3" a="1"/>
  <c r="B25" i="3" s="1"/>
  <c r="H24" i="3"/>
  <c r="G24" i="3"/>
  <c r="F24" i="3" a="1"/>
  <c r="F24" i="3" s="1"/>
  <c r="E24" i="3" a="1"/>
  <c r="E24" i="3" s="1"/>
  <c r="D24" i="3" a="1"/>
  <c r="D24" i="3" s="1"/>
  <c r="C24" i="3" a="1"/>
  <c r="C24" i="3" s="1"/>
  <c r="B24" i="3" a="1"/>
  <c r="B24" i="3" s="1"/>
  <c r="H23" i="3"/>
  <c r="G23" i="3"/>
  <c r="F23" i="3" a="1"/>
  <c r="F23" i="3" s="1"/>
  <c r="E23" i="3" a="1"/>
  <c r="E23" i="3" s="1"/>
  <c r="D23" i="3" a="1"/>
  <c r="D23" i="3" s="1"/>
  <c r="C23" i="3" a="1"/>
  <c r="C23" i="3" s="1"/>
  <c r="B23" i="3" a="1"/>
  <c r="B23" i="3" s="1"/>
  <c r="H22" i="3"/>
  <c r="G22" i="3"/>
  <c r="F22" i="3" a="1"/>
  <c r="F22" i="3" s="1"/>
  <c r="E22" i="3" a="1"/>
  <c r="E22" i="3" s="1"/>
  <c r="D22" i="3" a="1"/>
  <c r="D22" i="3" s="1"/>
  <c r="C22" i="3" a="1"/>
  <c r="C22" i="3" s="1"/>
  <c r="B22" i="3" a="1"/>
  <c r="B22" i="3" s="1"/>
  <c r="H21" i="3"/>
  <c r="G21" i="3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7" i="3" a="1"/>
  <c r="A7" i="3" s="1"/>
  <c r="BJ17" i="5" l="1"/>
  <c r="AP17" i="5"/>
  <c r="BI17" i="5"/>
  <c r="BK17" i="5"/>
  <c r="BB17" i="5"/>
  <c r="AL17" i="5"/>
  <c r="BA17" i="5"/>
  <c r="AY17" i="5"/>
  <c r="BD17" i="5"/>
  <c r="AW17" i="5"/>
  <c r="AU17" i="5"/>
  <c r="AT17" i="5"/>
  <c r="AR17" i="5"/>
  <c r="AN17" i="5"/>
  <c r="BE17" i="5"/>
  <c r="BG17" i="5"/>
  <c r="BH17" i="5"/>
  <c r="BF17" i="5"/>
  <c r="AZ17" i="5"/>
  <c r="AX17" i="5"/>
  <c r="AV17" i="5"/>
  <c r="AS17" i="5"/>
  <c r="AQ17" i="5"/>
  <c r="AO17" i="5"/>
  <c r="AM17" i="5"/>
  <c r="BC17" i="5"/>
  <c r="AR20" i="5"/>
  <c r="AU20" i="5"/>
  <c r="AZ20" i="5"/>
  <c r="AV20" i="5"/>
  <c r="AY20" i="5"/>
  <c r="BA20" i="5"/>
  <c r="BC20" i="5"/>
  <c r="BE20" i="5"/>
  <c r="BG20" i="5"/>
  <c r="AO20" i="5"/>
  <c r="BF20" i="5"/>
  <c r="BI20" i="5"/>
  <c r="BK20" i="5"/>
  <c r="BB20" i="5"/>
  <c r="BH20" i="5"/>
  <c r="BJ20" i="5"/>
  <c r="AM20" i="5"/>
  <c r="AL20" i="5"/>
  <c r="AQ20" i="5"/>
  <c r="AW19" i="5"/>
  <c r="AY19" i="5"/>
  <c r="BA19" i="5"/>
  <c r="BC19" i="5"/>
  <c r="BG19" i="5"/>
  <c r="BI19" i="5"/>
  <c r="BK19" i="5"/>
  <c r="BJ19" i="5"/>
  <c r="AS19" i="5"/>
  <c r="AU19" i="5"/>
  <c r="AX19" i="5"/>
  <c r="AZ19" i="5"/>
  <c r="BB19" i="5"/>
  <c r="BD19" i="5"/>
  <c r="BF19" i="5"/>
  <c r="BH19" i="5"/>
  <c r="AT19" i="5"/>
  <c r="AV19" i="5"/>
  <c r="AR19" i="5"/>
  <c r="AQ19" i="5"/>
  <c r="AP19" i="5"/>
  <c r="AO19" i="5"/>
  <c r="BE19" i="5"/>
  <c r="AN19" i="5"/>
  <c r="AM19" i="5"/>
  <c r="AL19" i="5"/>
  <c r="BK18" i="5"/>
  <c r="BG18" i="5"/>
  <c r="BE18" i="5"/>
  <c r="BC18" i="5"/>
  <c r="BA18" i="5"/>
  <c r="AN18" i="5"/>
  <c r="AY18" i="5"/>
  <c r="AW18" i="5"/>
  <c r="AU18" i="5"/>
  <c r="AS18" i="5"/>
  <c r="AR18" i="5"/>
  <c r="AQ18" i="5"/>
  <c r="AP18" i="5"/>
  <c r="AO18" i="5"/>
  <c r="AM18" i="5"/>
  <c r="AL18" i="5"/>
  <c r="BI18" i="5"/>
  <c r="AT18" i="5"/>
  <c r="AV18" i="5"/>
  <c r="BD18" i="5"/>
  <c r="AX18" i="5"/>
  <c r="AZ18" i="5"/>
  <c r="BB18" i="5"/>
  <c r="BF18" i="5"/>
  <c r="BH18" i="5"/>
  <c r="BJ18" i="5"/>
  <c r="AM16" i="5"/>
  <c r="AQ16" i="5"/>
  <c r="BH16" i="5"/>
  <c r="BJ16" i="5"/>
  <c r="BD16" i="5"/>
  <c r="BB16" i="5"/>
  <c r="AO16" i="5"/>
  <c r="BA16" i="5"/>
  <c r="AY16" i="5"/>
  <c r="AX16" i="5"/>
  <c r="AV16" i="5"/>
  <c r="AT16" i="5"/>
  <c r="BF16" i="5"/>
  <c r="AR16" i="5"/>
  <c r="AP16" i="5"/>
  <c r="AL16" i="5"/>
  <c r="BI16" i="5"/>
  <c r="BG16" i="5"/>
  <c r="BE16" i="5"/>
  <c r="BC16" i="5"/>
  <c r="AZ16" i="5"/>
  <c r="AW16" i="5"/>
  <c r="AU16" i="5"/>
  <c r="AN16" i="5"/>
  <c r="AS16" i="5"/>
  <c r="BK16" i="5"/>
  <c r="BA15" i="5"/>
  <c r="AM15" i="5"/>
  <c r="AO15" i="5"/>
  <c r="AQ15" i="5"/>
  <c r="AS15" i="5"/>
  <c r="AU15" i="5"/>
  <c r="AX15" i="5"/>
  <c r="AZ15" i="5"/>
  <c r="BB15" i="5"/>
  <c r="BE15" i="5"/>
  <c r="BG15" i="5"/>
  <c r="BJ15" i="5"/>
  <c r="BH15" i="5"/>
  <c r="BF15" i="5"/>
  <c r="BD15" i="5"/>
  <c r="BC15" i="5"/>
  <c r="AY15" i="5"/>
  <c r="AW15" i="5"/>
  <c r="AV15" i="5"/>
  <c r="AT15" i="5"/>
  <c r="AR15" i="5"/>
  <c r="AP15" i="5"/>
  <c r="AN15" i="5"/>
  <c r="AL15" i="5"/>
  <c r="BK15" i="5"/>
  <c r="BI15" i="5"/>
  <c r="AO14" i="5"/>
  <c r="AQ14" i="5"/>
  <c r="AZ14" i="5"/>
  <c r="AW14" i="5"/>
  <c r="AV14" i="5"/>
  <c r="BK14" i="5"/>
  <c r="AS14" i="5"/>
  <c r="BI14" i="5"/>
  <c r="BG14" i="5"/>
  <c r="BD14" i="5"/>
  <c r="AL14" i="5"/>
  <c r="AM14" i="5"/>
  <c r="AN14" i="5"/>
  <c r="AP14" i="5"/>
  <c r="BB14" i="5"/>
  <c r="AR14" i="5"/>
  <c r="AT14" i="5"/>
  <c r="AU14" i="5"/>
  <c r="AX14" i="5"/>
  <c r="AY14" i="5"/>
  <c r="BA14" i="5"/>
  <c r="BC14" i="5"/>
  <c r="BE14" i="5"/>
  <c r="BF14" i="5"/>
  <c r="BH14" i="5"/>
  <c r="BJ14" i="5"/>
  <c r="BI13" i="5"/>
  <c r="BH13" i="5"/>
  <c r="BG13" i="5"/>
  <c r="BF13" i="5"/>
  <c r="BE13" i="5"/>
  <c r="BD13" i="5"/>
  <c r="BC13" i="5"/>
  <c r="BB13" i="5"/>
  <c r="BA13" i="5"/>
  <c r="AU13" i="5"/>
  <c r="AY13" i="5"/>
  <c r="AX13" i="5"/>
  <c r="AW13" i="5"/>
  <c r="AV13" i="5"/>
  <c r="AT13" i="5"/>
  <c r="AS13" i="5"/>
  <c r="AQ13" i="5"/>
  <c r="AP13" i="5"/>
  <c r="AO13" i="5"/>
  <c r="AN13" i="5"/>
  <c r="AM13" i="5"/>
  <c r="AL13" i="5"/>
  <c r="BJ13" i="5"/>
  <c r="AZ13" i="5"/>
  <c r="AR13" i="5"/>
  <c r="BK13" i="5"/>
  <c r="AZ12" i="5"/>
  <c r="BK12" i="5"/>
  <c r="BJ12" i="5"/>
  <c r="BI12" i="5"/>
  <c r="BH12" i="5"/>
  <c r="BG12" i="5"/>
  <c r="BF12" i="5"/>
  <c r="BE12" i="5"/>
  <c r="BD12" i="5"/>
  <c r="BC12" i="5"/>
  <c r="BB12" i="5"/>
  <c r="BA12" i="5"/>
  <c r="AY12" i="5"/>
  <c r="AX12" i="5"/>
  <c r="AW12" i="5"/>
  <c r="AV12" i="5"/>
  <c r="AU12" i="5"/>
  <c r="AT12" i="5"/>
  <c r="AM12" i="5"/>
  <c r="AS12" i="5"/>
  <c r="AR12" i="5"/>
  <c r="AQ12" i="5"/>
  <c r="AL12" i="5"/>
  <c r="AP12" i="5"/>
  <c r="AO12" i="5"/>
  <c r="AN12" i="5"/>
  <c r="AL11" i="5"/>
  <c r="AR11" i="5"/>
  <c r="AQ11" i="5"/>
  <c r="AS11" i="5"/>
  <c r="AM11" i="5"/>
  <c r="AP11" i="5"/>
  <c r="AO11" i="5"/>
  <c r="AN11" i="5"/>
  <c r="AY11" i="5"/>
  <c r="AT11" i="5"/>
  <c r="AU11" i="5"/>
  <c r="AV11" i="5"/>
  <c r="AW11" i="5"/>
  <c r="AX11" i="5"/>
  <c r="BJ11" i="5"/>
  <c r="AZ11" i="5"/>
  <c r="BA11" i="5"/>
  <c r="BB11" i="5"/>
  <c r="BC11" i="5"/>
  <c r="BD11" i="5"/>
  <c r="BE11" i="5"/>
  <c r="BF11" i="5"/>
  <c r="BG11" i="5"/>
  <c r="BH11" i="5"/>
  <c r="BI11" i="5"/>
  <c r="BK11" i="5"/>
  <c r="BK10" i="5"/>
  <c r="BJ10" i="5"/>
  <c r="BI10" i="5"/>
  <c r="BH10" i="5"/>
  <c r="BF10" i="5"/>
  <c r="BD10" i="5"/>
  <c r="AY10" i="5"/>
  <c r="AZ10" i="5"/>
  <c r="AX10" i="5"/>
  <c r="AW10" i="5"/>
  <c r="AV10" i="5"/>
  <c r="AU10" i="5"/>
  <c r="AT10" i="5"/>
  <c r="AS10" i="5"/>
  <c r="BA10" i="5"/>
  <c r="AQ10" i="5"/>
  <c r="AP10" i="5"/>
  <c r="AO10" i="5"/>
  <c r="AN10" i="5"/>
  <c r="AM10" i="5"/>
  <c r="AL10" i="5"/>
  <c r="BG10" i="5"/>
  <c r="BB10" i="5"/>
  <c r="BC10" i="5"/>
  <c r="BE10" i="5"/>
  <c r="AR10" i="5"/>
  <c r="AM9" i="5"/>
  <c r="AN9" i="5"/>
  <c r="AO9" i="5"/>
  <c r="AP9" i="5"/>
  <c r="AQ9" i="5"/>
  <c r="AS9" i="5"/>
  <c r="AU9" i="5"/>
  <c r="AV9" i="5"/>
  <c r="AX9" i="5"/>
  <c r="AY9" i="5"/>
  <c r="AZ9" i="5"/>
  <c r="BB9" i="5"/>
  <c r="BD9" i="5"/>
  <c r="BF9" i="5"/>
  <c r="BG9" i="5"/>
  <c r="BI9" i="5"/>
  <c r="BK9" i="5"/>
  <c r="AT9" i="5"/>
  <c r="AW9" i="5"/>
  <c r="AR9" i="5"/>
  <c r="BA9" i="5"/>
  <c r="BC9" i="5"/>
  <c r="BE9" i="5"/>
  <c r="BH9" i="5"/>
  <c r="BJ9" i="5"/>
  <c r="AL9" i="5"/>
  <c r="AH21" i="4" a="1"/>
  <c r="AH21" i="4" s="1"/>
  <c r="BR19" i="5"/>
  <c r="AI21" i="4" a="1"/>
  <c r="AI21" i="4" s="1"/>
  <c r="BQ19" i="5"/>
  <c r="AI15" i="4" a="1"/>
  <c r="AI15" i="4" s="1"/>
  <c r="BQ13" i="5"/>
  <c r="AH15" i="4" a="1"/>
  <c r="AH15" i="4" s="1"/>
  <c r="BR13" i="5"/>
  <c r="AI14" i="4" a="1"/>
  <c r="AI14" i="4" s="1"/>
  <c r="BQ12" i="5"/>
  <c r="AH23" i="4" a="1"/>
  <c r="AH23" i="4" s="1"/>
  <c r="BR21" i="5"/>
  <c r="AH16" i="4" a="1"/>
  <c r="AH16" i="4" s="1"/>
  <c r="BR14" i="5"/>
  <c r="AI11" i="4" a="1"/>
  <c r="AI11" i="4" s="1"/>
  <c r="AH11" i="4" a="1"/>
  <c r="AH11" i="4" s="1"/>
  <c r="BR17" i="5"/>
  <c r="AH19" i="4" a="1"/>
  <c r="AH19" i="4" s="1"/>
  <c r="BQ17" i="5"/>
  <c r="AI19" i="4" a="1"/>
  <c r="AI19" i="4" s="1"/>
  <c r="B8" i="3" a="1"/>
  <c r="B8" i="3" s="1"/>
  <c r="C8" i="3" a="1"/>
  <c r="C8" i="3" s="1"/>
  <c r="D8" i="3" a="1"/>
  <c r="D8" i="3" s="1"/>
  <c r="E8" i="3" a="1"/>
  <c r="E8" i="3" s="1"/>
  <c r="B9" i="3" a="1"/>
  <c r="B9" i="3" s="1"/>
  <c r="C9" i="3" a="1"/>
  <c r="C9" i="3" s="1"/>
  <c r="D9" i="3" a="1"/>
  <c r="D9" i="3" s="1"/>
  <c r="E9" i="3" a="1"/>
  <c r="E9" i="3" s="1"/>
  <c r="B10" i="3" a="1"/>
  <c r="B10" i="3" s="1"/>
  <c r="C10" i="3" a="1"/>
  <c r="C10" i="3" s="1"/>
  <c r="D10" i="3" a="1"/>
  <c r="D10" i="3" s="1"/>
  <c r="E10" i="3" a="1"/>
  <c r="E10" i="3" s="1"/>
  <c r="B11" i="3" a="1"/>
  <c r="B11" i="3" s="1"/>
  <c r="C11" i="3" a="1"/>
  <c r="C11" i="3" s="1"/>
  <c r="D11" i="3" a="1"/>
  <c r="D11" i="3" s="1"/>
  <c r="E11" i="3" a="1"/>
  <c r="E11" i="3" s="1"/>
  <c r="B12" i="3" a="1"/>
  <c r="B12" i="3" s="1"/>
  <c r="C12" i="3" a="1"/>
  <c r="C12" i="3" s="1"/>
  <c r="D12" i="3" a="1"/>
  <c r="D12" i="3" s="1"/>
  <c r="E12" i="3" a="1"/>
  <c r="E12" i="3" s="1"/>
  <c r="B13" i="3" a="1"/>
  <c r="B13" i="3" s="1"/>
  <c r="C13" i="3" a="1"/>
  <c r="C13" i="3" s="1"/>
  <c r="D13" i="3" a="1"/>
  <c r="D13" i="3" s="1"/>
  <c r="E13" i="3" a="1"/>
  <c r="E13" i="3" s="1"/>
  <c r="B14" i="3" a="1"/>
  <c r="B14" i="3" s="1"/>
  <c r="C14" i="3" a="1"/>
  <c r="C14" i="3" s="1"/>
  <c r="D14" i="3" a="1"/>
  <c r="D14" i="3" s="1"/>
  <c r="E14" i="3" a="1"/>
  <c r="E14" i="3" s="1"/>
  <c r="B15" i="3" a="1"/>
  <c r="B15" i="3" s="1"/>
  <c r="C15" i="3" a="1"/>
  <c r="C15" i="3" s="1"/>
  <c r="D15" i="3" a="1"/>
  <c r="D15" i="3" s="1"/>
  <c r="E15" i="3" a="1"/>
  <c r="E15" i="3" s="1"/>
  <c r="B16" i="3" a="1"/>
  <c r="B16" i="3" s="1"/>
  <c r="C16" i="3" a="1"/>
  <c r="C16" i="3" s="1"/>
  <c r="D16" i="3" a="1"/>
  <c r="D16" i="3" s="1"/>
  <c r="E16" i="3" a="1"/>
  <c r="E16" i="3" s="1"/>
  <c r="B17" i="3" a="1"/>
  <c r="B17" i="3" s="1"/>
  <c r="C17" i="3" a="1"/>
  <c r="C17" i="3" s="1"/>
  <c r="D17" i="3" a="1"/>
  <c r="D17" i="3" s="1"/>
  <c r="E17" i="3" a="1"/>
  <c r="E17" i="3" s="1"/>
  <c r="B18" i="3" a="1"/>
  <c r="B18" i="3" s="1"/>
  <c r="C18" i="3" a="1"/>
  <c r="C18" i="3" s="1"/>
  <c r="D18" i="3" a="1"/>
  <c r="D18" i="3" s="1"/>
  <c r="E18" i="3" a="1"/>
  <c r="E18" i="3" s="1"/>
  <c r="B19" i="3" a="1"/>
  <c r="B19" i="3" s="1"/>
  <c r="C19" i="3" a="1"/>
  <c r="C19" i="3" s="1"/>
  <c r="D19" i="3" a="1"/>
  <c r="D19" i="3" s="1"/>
  <c r="E19" i="3" a="1"/>
  <c r="E19" i="3" s="1"/>
  <c r="B20" i="3" a="1"/>
  <c r="B20" i="3" s="1"/>
  <c r="C20" i="3" a="1"/>
  <c r="C20" i="3" s="1"/>
  <c r="D20" i="3" a="1"/>
  <c r="D20" i="3" s="1"/>
  <c r="E20" i="3" a="1"/>
  <c r="E20" i="3" s="1"/>
  <c r="B7" i="3" a="1"/>
  <c r="B7" i="3" s="1"/>
  <c r="C7" i="3" a="1"/>
  <c r="C7" i="3" s="1"/>
  <c r="D7" i="3" a="1"/>
  <c r="D7" i="3" s="1"/>
  <c r="E7" i="3" a="1"/>
  <c r="E7" i="3" s="1"/>
  <c r="AI24" i="4" a="1"/>
  <c r="AI24" i="4" s="1"/>
  <c r="BQ22" i="5"/>
  <c r="AH24" i="4" a="1"/>
  <c r="AH24" i="4" s="1"/>
  <c r="BR22" i="5"/>
  <c r="AI23" i="4" a="1"/>
  <c r="AI23" i="4" s="1"/>
  <c r="BQ21" i="5"/>
  <c r="AH22" i="4" a="1"/>
  <c r="AH22" i="4" s="1"/>
  <c r="BR20" i="5"/>
  <c r="AI22" i="4" a="1"/>
  <c r="AI22" i="4" s="1"/>
  <c r="BQ20" i="5"/>
  <c r="AI20" i="4" a="1"/>
  <c r="AI20" i="4" s="1"/>
  <c r="BQ18" i="5"/>
  <c r="AH18" i="4" a="1"/>
  <c r="AH18" i="4" s="1"/>
  <c r="BR16" i="5"/>
  <c r="AI18" i="4" a="1"/>
  <c r="AI18" i="4" s="1"/>
  <c r="BQ16" i="5"/>
  <c r="AI17" i="4" a="1"/>
  <c r="AI17" i="4" s="1"/>
  <c r="BQ15" i="5"/>
  <c r="AI16" i="4" a="1"/>
  <c r="AI16" i="4" s="1"/>
  <c r="AH14" i="4" a="1"/>
  <c r="AH14" i="4" s="1"/>
  <c r="BR12" i="5"/>
  <c r="AH12" i="4" a="1"/>
  <c r="AH12" i="4" s="1"/>
  <c r="BR10" i="5"/>
  <c r="AI12" i="4" a="1"/>
  <c r="AI12" i="4" s="1"/>
  <c r="BQ10" i="5"/>
  <c r="BS9" i="5" l="1"/>
  <c r="BS17" i="5"/>
  <c r="BS22" i="5"/>
  <c r="BS21" i="5"/>
  <c r="BS20" i="5"/>
  <c r="BS18" i="5"/>
  <c r="BS16" i="5"/>
  <c r="BS15" i="5"/>
  <c r="BS11" i="5"/>
  <c r="BS10" i="5"/>
  <c r="F8" i="3" a="1"/>
  <c r="F8" i="3" s="1"/>
  <c r="F7" i="3" a="1"/>
  <c r="F7" i="3" s="1"/>
  <c r="F11" i="3" a="1"/>
  <c r="F11" i="3" s="1"/>
  <c r="F12" i="3" a="1"/>
  <c r="F12" i="3" s="1"/>
  <c r="F14" i="3" a="1"/>
  <c r="F14" i="3" s="1"/>
  <c r="F13" i="3" a="1"/>
  <c r="F13" i="3" s="1"/>
  <c r="F15" i="3" a="1"/>
  <c r="F15" i="3" s="1"/>
  <c r="F16" i="3" a="1"/>
  <c r="F16" i="3" s="1"/>
  <c r="F17" i="3" a="1"/>
  <c r="F17" i="3" s="1"/>
  <c r="F18" i="3" a="1"/>
  <c r="F18" i="3" s="1"/>
  <c r="F10" i="3" a="1"/>
  <c r="F10" i="3" s="1"/>
  <c r="F19" i="3" a="1"/>
  <c r="F19" i="3" s="1"/>
  <c r="F9" i="3" a="1"/>
  <c r="F9" i="3" s="1"/>
  <c r="BS14" i="5"/>
  <c r="BS19" i="5"/>
  <c r="BS13" i="5"/>
  <c r="BS12" i="5"/>
  <c r="BT9" i="5" l="1"/>
  <c r="BU9" i="5" s="1"/>
  <c r="F9" i="5" s="1"/>
  <c r="H7" i="3"/>
  <c r="G7" i="3"/>
  <c r="H11" i="3"/>
  <c r="G11" i="3"/>
  <c r="H13" i="3"/>
  <c r="G13" i="3"/>
  <c r="H16" i="3"/>
  <c r="G16" i="3"/>
  <c r="H10" i="3"/>
  <c r="G10" i="3"/>
  <c r="H19" i="3"/>
  <c r="G19" i="3"/>
  <c r="H9" i="3"/>
  <c r="G9" i="3"/>
  <c r="G8" i="3"/>
  <c r="H8" i="3"/>
  <c r="G12" i="3"/>
  <c r="H12" i="3"/>
  <c r="G14" i="3"/>
  <c r="H14" i="3"/>
  <c r="G15" i="3"/>
  <c r="H15" i="3"/>
  <c r="G17" i="3"/>
  <c r="H17" i="3"/>
  <c r="G18" i="3"/>
  <c r="H18" i="3"/>
  <c r="F20" i="3" l="1" a="1"/>
  <c r="F20" i="3" s="1"/>
  <c r="BT10" i="5"/>
  <c r="AB9" i="5" l="1"/>
  <c r="AD9" i="5"/>
  <c r="Z9" i="5"/>
  <c r="AA9" i="5"/>
  <c r="AC9" i="5"/>
  <c r="W9" i="5"/>
  <c r="Y9" i="5"/>
  <c r="AI9" i="5"/>
  <c r="X9" i="5"/>
  <c r="AH9" i="5"/>
  <c r="AG9" i="5"/>
  <c r="AF9" i="5"/>
  <c r="AE9" i="5"/>
  <c r="H20" i="3"/>
  <c r="G20" i="3"/>
  <c r="E3" i="3" s="1"/>
  <c r="H3" i="3" s="1"/>
  <c r="B4" i="3" s="1"/>
  <c r="BU10" i="5"/>
  <c r="U9" i="5"/>
  <c r="V9" i="5"/>
  <c r="T9" i="5"/>
  <c r="S9" i="5"/>
  <c r="J9" i="5"/>
  <c r="I9" i="5"/>
  <c r="H9" i="5"/>
  <c r="Q9" i="5"/>
  <c r="M9" i="5"/>
  <c r="O9" i="5"/>
  <c r="R9" i="5"/>
  <c r="N9" i="5"/>
  <c r="K9" i="5"/>
  <c r="G9" i="5"/>
  <c r="P9" i="5"/>
  <c r="L9" i="5"/>
  <c r="BT11" i="5"/>
  <c r="Y11" i="4" l="1" a="1"/>
  <c r="Y11" i="4" s="1"/>
  <c r="AA11" i="4" a="1"/>
  <c r="AA11" i="4" s="1"/>
  <c r="W11" i="4" a="1"/>
  <c r="W11" i="4" s="1"/>
  <c r="X11" i="4" a="1"/>
  <c r="X11" i="4" s="1"/>
  <c r="Z11" i="4" a="1"/>
  <c r="Z11" i="4" s="1"/>
  <c r="T11" i="4" a="1"/>
  <c r="T11" i="4" s="1"/>
  <c r="V11" i="4" a="1"/>
  <c r="V11" i="4" s="1"/>
  <c r="AF11" i="4" a="1"/>
  <c r="AF11" i="4" s="1"/>
  <c r="U11" i="4" a="1"/>
  <c r="U11" i="4" s="1"/>
  <c r="AE11" i="4" a="1"/>
  <c r="AE11" i="4" s="1"/>
  <c r="AD11" i="4" a="1"/>
  <c r="AD11" i="4" s="1"/>
  <c r="AC11" i="4" a="1"/>
  <c r="AC11" i="4" s="1"/>
  <c r="AB11" i="4" a="1"/>
  <c r="AB11" i="4" s="1"/>
  <c r="W10" i="5"/>
  <c r="X10" i="5"/>
  <c r="U12" i="4" s="1" a="1"/>
  <c r="U12" i="4" s="1"/>
  <c r="Y10" i="5"/>
  <c r="V12" i="4" s="1" a="1"/>
  <c r="V12" i="4" s="1"/>
  <c r="Z10" i="5"/>
  <c r="W12" i="4" s="1" a="1"/>
  <c r="W12" i="4" s="1"/>
  <c r="AA10" i="5"/>
  <c r="X12" i="4" s="1" a="1"/>
  <c r="X12" i="4" s="1"/>
  <c r="AB10" i="5"/>
  <c r="AC10" i="5"/>
  <c r="Z12" i="4" s="1" a="1"/>
  <c r="Z12" i="4" s="1"/>
  <c r="AD10" i="5"/>
  <c r="AE10" i="5"/>
  <c r="AB12" i="4" s="1" a="1"/>
  <c r="AB12" i="4" s="1"/>
  <c r="AF10" i="5"/>
  <c r="AG10" i="5"/>
  <c r="AH10" i="5"/>
  <c r="AI10" i="5"/>
  <c r="U10" i="5"/>
  <c r="R12" i="4" s="1" a="1"/>
  <c r="R12" i="4" s="1"/>
  <c r="S10" i="5"/>
  <c r="P12" i="4" s="1" a="1"/>
  <c r="P12" i="4" s="1"/>
  <c r="Q10" i="5"/>
  <c r="N12" i="4" s="1" a="1"/>
  <c r="N12" i="4" s="1"/>
  <c r="N10" i="5"/>
  <c r="K12" i="4" s="1" a="1"/>
  <c r="K12" i="4" s="1"/>
  <c r="L10" i="5"/>
  <c r="J10" i="5"/>
  <c r="G12" i="4" s="1" a="1"/>
  <c r="G12" i="4" s="1"/>
  <c r="F10" i="5"/>
  <c r="V10" i="5"/>
  <c r="S12" i="4" s="1" a="1"/>
  <c r="S12" i="4" s="1"/>
  <c r="T10" i="5"/>
  <c r="R10" i="5"/>
  <c r="O12" i="4" s="1" a="1"/>
  <c r="O12" i="4" s="1"/>
  <c r="P10" i="5"/>
  <c r="M12" i="4" s="1" a="1"/>
  <c r="M12" i="4" s="1"/>
  <c r="O10" i="5"/>
  <c r="M10" i="5"/>
  <c r="K10" i="5"/>
  <c r="I10" i="5"/>
  <c r="H10" i="5"/>
  <c r="E12" i="4" s="1" a="1"/>
  <c r="E12" i="4" s="1"/>
  <c r="G10" i="5"/>
  <c r="R11" i="4" a="1"/>
  <c r="R11" i="4" s="1"/>
  <c r="S11" i="4" a="1"/>
  <c r="S11" i="4" s="1"/>
  <c r="Q11" i="4" a="1"/>
  <c r="Q11" i="4" s="1"/>
  <c r="C11" i="4" a="1"/>
  <c r="C11" i="4" s="1"/>
  <c r="AJ9" i="5"/>
  <c r="P11" i="4" a="1"/>
  <c r="P11" i="4" s="1"/>
  <c r="G11" i="4" a="1"/>
  <c r="G11" i="4" s="1"/>
  <c r="F11" i="4" a="1"/>
  <c r="F11" i="4" s="1"/>
  <c r="E11" i="4" a="1"/>
  <c r="E11" i="4" s="1"/>
  <c r="N11" i="4" a="1"/>
  <c r="N11" i="4" s="1"/>
  <c r="J11" i="4" a="1"/>
  <c r="J11" i="4" s="1"/>
  <c r="L11" i="4" a="1"/>
  <c r="L11" i="4" s="1"/>
  <c r="O11" i="4" a="1"/>
  <c r="O11" i="4" s="1"/>
  <c r="K11" i="4" a="1"/>
  <c r="K11" i="4" s="1"/>
  <c r="H11" i="4" a="1"/>
  <c r="H11" i="4" s="1"/>
  <c r="D11" i="4" a="1"/>
  <c r="D11" i="4" s="1"/>
  <c r="M11" i="4" a="1"/>
  <c r="M11" i="4" s="1"/>
  <c r="I11" i="4" a="1"/>
  <c r="I11" i="4" s="1"/>
  <c r="BU11" i="5"/>
  <c r="F11" i="5" s="1"/>
  <c r="BT12" i="5"/>
  <c r="BT13" i="5" s="1"/>
  <c r="BT14" i="5" s="1"/>
  <c r="K11" i="5" l="1"/>
  <c r="I12" i="4" a="1"/>
  <c r="I12" i="4" s="1"/>
  <c r="T12" i="4" a="1"/>
  <c r="T12" i="4" s="1"/>
  <c r="Y12" i="4" a="1"/>
  <c r="Y12" i="4" s="1"/>
  <c r="AA12" i="4" a="1"/>
  <c r="AA12" i="4" s="1"/>
  <c r="AC12" i="4" a="1"/>
  <c r="AC12" i="4" s="1"/>
  <c r="AD12" i="4" a="1"/>
  <c r="AD12" i="4" s="1"/>
  <c r="AE12" i="4" a="1"/>
  <c r="AE12" i="4" s="1"/>
  <c r="AF12" i="4" a="1"/>
  <c r="AF12" i="4" s="1"/>
  <c r="AD11" i="5"/>
  <c r="AC11" i="5"/>
  <c r="AB11" i="5"/>
  <c r="Y13" i="4" s="1" a="1"/>
  <c r="Y13" i="4" s="1"/>
  <c r="X11" i="5"/>
  <c r="Z11" i="5"/>
  <c r="AA11" i="5"/>
  <c r="AH11" i="5"/>
  <c r="W11" i="5"/>
  <c r="AG11" i="5"/>
  <c r="AI11" i="5"/>
  <c r="AF13" i="4" s="1" a="1"/>
  <c r="AF13" i="4" s="1"/>
  <c r="AF11" i="5"/>
  <c r="AE11" i="5"/>
  <c r="Y11" i="5"/>
  <c r="C12" i="4" a="1"/>
  <c r="C12" i="4" s="1"/>
  <c r="AJ10" i="5"/>
  <c r="F2" i="2"/>
  <c r="AJ11" i="4" a="1"/>
  <c r="AJ11" i="4" s="1"/>
  <c r="AK9" i="5"/>
  <c r="AK11" i="4" s="1" a="1"/>
  <c r="AK11" i="4" s="1"/>
  <c r="L11" i="5"/>
  <c r="Q11" i="5"/>
  <c r="H11" i="5"/>
  <c r="G11" i="5"/>
  <c r="J11" i="5"/>
  <c r="S11" i="5"/>
  <c r="U11" i="5"/>
  <c r="M11" i="5"/>
  <c r="O11" i="5"/>
  <c r="L13" i="4" s="1" a="1"/>
  <c r="L13" i="4" s="1"/>
  <c r="I11" i="5"/>
  <c r="N11" i="5"/>
  <c r="P11" i="5"/>
  <c r="R11" i="5"/>
  <c r="T11" i="5"/>
  <c r="V11" i="5"/>
  <c r="Q12" i="4" a="1"/>
  <c r="Q12" i="4" s="1"/>
  <c r="L12" i="4" a="1"/>
  <c r="L12" i="4" s="1"/>
  <c r="J12" i="4" a="1"/>
  <c r="J12" i="4" s="1"/>
  <c r="H12" i="4" a="1"/>
  <c r="H12" i="4" s="1"/>
  <c r="F12" i="4" a="1"/>
  <c r="F12" i="4" s="1"/>
  <c r="D12" i="4" a="1"/>
  <c r="D12" i="4" s="1"/>
  <c r="BU12" i="5"/>
  <c r="BU13" i="5"/>
  <c r="BU14" i="5"/>
  <c r="BT15" i="5"/>
  <c r="Z13" i="4" l="1" a="1"/>
  <c r="Z13" i="4" s="1"/>
  <c r="U13" i="4" a="1"/>
  <c r="U13" i="4" s="1"/>
  <c r="W13" i="4" a="1"/>
  <c r="W13" i="4" s="1"/>
  <c r="X13" i="4" a="1"/>
  <c r="X13" i="4" s="1"/>
  <c r="AB13" i="4" a="1"/>
  <c r="AB13" i="4" s="1"/>
  <c r="V13" i="4" a="1"/>
  <c r="V13" i="4" s="1"/>
  <c r="AA13" i="4" a="1"/>
  <c r="AA13" i="4" s="1"/>
  <c r="AE13" i="4" a="1"/>
  <c r="AE13" i="4" s="1"/>
  <c r="T13" i="4" a="1"/>
  <c r="T13" i="4" s="1"/>
  <c r="AD13" i="4" a="1"/>
  <c r="AD13" i="4" s="1"/>
  <c r="AC13" i="4" a="1"/>
  <c r="AC13" i="4" s="1"/>
  <c r="AE12" i="5"/>
  <c r="AB14" i="4" s="1" a="1"/>
  <c r="AB14" i="4" s="1"/>
  <c r="AG12" i="5"/>
  <c r="AI12" i="5"/>
  <c r="W12" i="5"/>
  <c r="Z12" i="5"/>
  <c r="Y12" i="5"/>
  <c r="AD12" i="5"/>
  <c r="X12" i="5"/>
  <c r="AC12" i="5"/>
  <c r="AH12" i="5"/>
  <c r="AF12" i="5"/>
  <c r="AA12" i="5"/>
  <c r="X14" i="4" s="1" a="1"/>
  <c r="X14" i="4" s="1"/>
  <c r="AB12" i="5"/>
  <c r="AG13" i="5"/>
  <c r="AD15" i="4" s="1" a="1"/>
  <c r="AD15" i="4" s="1"/>
  <c r="AE13" i="5"/>
  <c r="AB15" i="4" s="1" a="1"/>
  <c r="AB15" i="4" s="1"/>
  <c r="AD13" i="5"/>
  <c r="AA15" i="4" s="1" a="1"/>
  <c r="AA15" i="4" s="1"/>
  <c r="AC13" i="5"/>
  <c r="Z15" i="4" s="1" a="1"/>
  <c r="Z15" i="4" s="1"/>
  <c r="AB13" i="5"/>
  <c r="Y15" i="4" s="1" a="1"/>
  <c r="Y15" i="4" s="1"/>
  <c r="AA13" i="5"/>
  <c r="Z13" i="5"/>
  <c r="W15" i="4" s="1" a="1"/>
  <c r="W15" i="4" s="1"/>
  <c r="Y13" i="5"/>
  <c r="V15" i="4" s="1" a="1"/>
  <c r="V15" i="4" s="1"/>
  <c r="AH13" i="5"/>
  <c r="AE15" i="4" s="1" a="1"/>
  <c r="AE15" i="4" s="1"/>
  <c r="W13" i="5"/>
  <c r="T15" i="4" s="1" a="1"/>
  <c r="T15" i="4" s="1"/>
  <c r="AI13" i="5"/>
  <c r="AF15" i="4" s="1" a="1"/>
  <c r="AF15" i="4" s="1"/>
  <c r="X13" i="5"/>
  <c r="U15" i="4" s="1" a="1"/>
  <c r="U15" i="4" s="1"/>
  <c r="AF13" i="5"/>
  <c r="AC15" i="4" s="1" a="1"/>
  <c r="AC15" i="4" s="1"/>
  <c r="X14" i="5"/>
  <c r="U16" i="4" s="1" a="1"/>
  <c r="U16" i="4" s="1"/>
  <c r="AF14" i="5"/>
  <c r="AC16" i="4" s="1" a="1"/>
  <c r="AC16" i="4" s="1"/>
  <c r="Z14" i="5"/>
  <c r="W16" i="4" s="1" a="1"/>
  <c r="W16" i="4" s="1"/>
  <c r="AB14" i="5"/>
  <c r="Y16" i="4" s="1" a="1"/>
  <c r="Y16" i="4" s="1"/>
  <c r="AE14" i="5"/>
  <c r="AB16" i="4" s="1" a="1"/>
  <c r="AB16" i="4" s="1"/>
  <c r="AH14" i="5"/>
  <c r="AE16" i="4" s="1" a="1"/>
  <c r="AE16" i="4" s="1"/>
  <c r="AA14" i="5"/>
  <c r="X16" i="4" s="1" a="1"/>
  <c r="X16" i="4" s="1"/>
  <c r="AD14" i="5"/>
  <c r="AA16" i="4" s="1" a="1"/>
  <c r="AA16" i="4" s="1"/>
  <c r="W14" i="5"/>
  <c r="T16" i="4" s="1" a="1"/>
  <c r="T16" i="4" s="1"/>
  <c r="AG14" i="5"/>
  <c r="AD16" i="4" s="1" a="1"/>
  <c r="AD16" i="4" s="1"/>
  <c r="AI14" i="5"/>
  <c r="AF16" i="4" s="1" a="1"/>
  <c r="AF16" i="4" s="1"/>
  <c r="Y14" i="5"/>
  <c r="V16" i="4" s="1" a="1"/>
  <c r="V16" i="4" s="1"/>
  <c r="AC14" i="5"/>
  <c r="Z16" i="4" s="1" a="1"/>
  <c r="Z16" i="4" s="1"/>
  <c r="AK10" i="5"/>
  <c r="AK12" i="4" s="1" a="1"/>
  <c r="AK12" i="4" s="1"/>
  <c r="AJ12" i="4" a="1"/>
  <c r="AJ12" i="4" s="1"/>
  <c r="F3" i="2"/>
  <c r="I13" i="4" a="1"/>
  <c r="I13" i="4" s="1"/>
  <c r="N13" i="4" a="1"/>
  <c r="N13" i="4" s="1"/>
  <c r="E13" i="4" a="1"/>
  <c r="E13" i="4" s="1"/>
  <c r="C13" i="4" a="1"/>
  <c r="C13" i="4" s="1"/>
  <c r="AJ11" i="5"/>
  <c r="G13" i="4" a="1"/>
  <c r="G13" i="4" s="1"/>
  <c r="P13" i="4" a="1"/>
  <c r="P13" i="4" s="1"/>
  <c r="R13" i="4" a="1"/>
  <c r="R13" i="4" s="1"/>
  <c r="J13" i="4" a="1"/>
  <c r="J13" i="4" s="1"/>
  <c r="F13" i="4" a="1"/>
  <c r="F13" i="4" s="1"/>
  <c r="K13" i="4" a="1"/>
  <c r="K13" i="4" s="1"/>
  <c r="M13" i="4" a="1"/>
  <c r="M13" i="4" s="1"/>
  <c r="O13" i="4" a="1"/>
  <c r="O13" i="4" s="1"/>
  <c r="S13" i="4" a="1"/>
  <c r="S13" i="4" s="1"/>
  <c r="J12" i="5"/>
  <c r="G14" i="4" s="1" a="1"/>
  <c r="G14" i="4" s="1"/>
  <c r="N12" i="5"/>
  <c r="Q12" i="5"/>
  <c r="R12" i="5"/>
  <c r="T12" i="5"/>
  <c r="Q14" i="4" s="1" a="1"/>
  <c r="Q14" i="4" s="1"/>
  <c r="U12" i="5"/>
  <c r="O12" i="5"/>
  <c r="K12" i="5"/>
  <c r="H14" i="4" s="1" a="1"/>
  <c r="H14" i="4" s="1"/>
  <c r="G12" i="5"/>
  <c r="D14" i="4" s="1" a="1"/>
  <c r="D14" i="4" s="1"/>
  <c r="V12" i="5"/>
  <c r="S14" i="4" s="1" a="1"/>
  <c r="S14" i="4" s="1"/>
  <c r="P12" i="5"/>
  <c r="M14" i="4" s="1" a="1"/>
  <c r="M14" i="4" s="1"/>
  <c r="S12" i="5"/>
  <c r="I12" i="5"/>
  <c r="H12" i="5"/>
  <c r="E14" i="4" s="1" a="1"/>
  <c r="E14" i="4" s="1"/>
  <c r="L12" i="5"/>
  <c r="M12" i="5"/>
  <c r="F12" i="5"/>
  <c r="V13" i="5"/>
  <c r="F13" i="5"/>
  <c r="K13" i="5"/>
  <c r="H15" i="4" s="1" a="1"/>
  <c r="H15" i="4" s="1"/>
  <c r="O13" i="5"/>
  <c r="L15" i="4" s="1" a="1"/>
  <c r="L15" i="4" s="1"/>
  <c r="Q13" i="5"/>
  <c r="N15" i="4" s="1" a="1"/>
  <c r="N15" i="4" s="1"/>
  <c r="R13" i="5"/>
  <c r="O15" i="4" s="1" a="1"/>
  <c r="O15" i="4" s="1"/>
  <c r="S13" i="5"/>
  <c r="P15" i="4" s="1" a="1"/>
  <c r="P15" i="4" s="1"/>
  <c r="T13" i="5"/>
  <c r="Q15" i="4" s="1" a="1"/>
  <c r="Q15" i="4" s="1"/>
  <c r="U13" i="5"/>
  <c r="R15" i="4" s="1" a="1"/>
  <c r="R15" i="4" s="1"/>
  <c r="I13" i="5"/>
  <c r="L13" i="5"/>
  <c r="I15" i="4" s="1" a="1"/>
  <c r="I15" i="4" s="1"/>
  <c r="M13" i="5"/>
  <c r="J15" i="4" s="1" a="1"/>
  <c r="J15" i="4" s="1"/>
  <c r="N13" i="5"/>
  <c r="K15" i="4" s="1" a="1"/>
  <c r="K15" i="4" s="1"/>
  <c r="P13" i="5"/>
  <c r="M15" i="4" s="1" a="1"/>
  <c r="M15" i="4" s="1"/>
  <c r="J13" i="5"/>
  <c r="G15" i="4" s="1" a="1"/>
  <c r="G15" i="4" s="1"/>
  <c r="H13" i="5"/>
  <c r="E15" i="4" s="1" a="1"/>
  <c r="E15" i="4" s="1"/>
  <c r="G13" i="5"/>
  <c r="D15" i="4" s="1" a="1"/>
  <c r="D15" i="4" s="1"/>
  <c r="V14" i="5"/>
  <c r="S16" i="4" s="1" a="1"/>
  <c r="S16" i="4" s="1"/>
  <c r="U14" i="5"/>
  <c r="R16" i="4" s="1" a="1"/>
  <c r="R16" i="4" s="1"/>
  <c r="T14" i="5"/>
  <c r="Q16" i="4" s="1" a="1"/>
  <c r="Q16" i="4" s="1"/>
  <c r="S14" i="5"/>
  <c r="P16" i="4" s="1" a="1"/>
  <c r="P16" i="4" s="1"/>
  <c r="R14" i="5"/>
  <c r="O16" i="4" s="1" a="1"/>
  <c r="O16" i="4" s="1"/>
  <c r="Q14" i="5"/>
  <c r="N16" i="4" s="1" a="1"/>
  <c r="N16" i="4" s="1"/>
  <c r="P14" i="5"/>
  <c r="O14" i="5"/>
  <c r="L16" i="4" s="1" a="1"/>
  <c r="L16" i="4" s="1"/>
  <c r="N14" i="5"/>
  <c r="K16" i="4" s="1" a="1"/>
  <c r="K16" i="4" s="1"/>
  <c r="M14" i="5"/>
  <c r="J16" i="4" s="1" a="1"/>
  <c r="J16" i="4" s="1"/>
  <c r="L14" i="5"/>
  <c r="I16" i="4" s="1" a="1"/>
  <c r="I16" i="4" s="1"/>
  <c r="K14" i="5"/>
  <c r="H16" i="4" s="1" a="1"/>
  <c r="H16" i="4" s="1"/>
  <c r="J14" i="5"/>
  <c r="I14" i="5"/>
  <c r="F16" i="4" s="1" a="1"/>
  <c r="F16" i="4" s="1"/>
  <c r="H14" i="5"/>
  <c r="G14" i="5"/>
  <c r="D16" i="4" s="1" a="1"/>
  <c r="D16" i="4" s="1"/>
  <c r="F14" i="5"/>
  <c r="BT16" i="5"/>
  <c r="BU15" i="5"/>
  <c r="D13" i="4" a="1"/>
  <c r="D13" i="4" s="1"/>
  <c r="H13" i="4" a="1"/>
  <c r="H13" i="4" s="1"/>
  <c r="Q13" i="4" a="1"/>
  <c r="Q13" i="4" s="1"/>
  <c r="AF14" i="4" l="1" a="1"/>
  <c r="AF14" i="4" s="1"/>
  <c r="AE14" i="4" a="1"/>
  <c r="AE14" i="4" s="1"/>
  <c r="Y14" i="4" a="1"/>
  <c r="Y14" i="4" s="1"/>
  <c r="AD14" i="4" a="1"/>
  <c r="AD14" i="4" s="1"/>
  <c r="T14" i="4" a="1"/>
  <c r="T14" i="4" s="1"/>
  <c r="W14" i="4" a="1"/>
  <c r="W14" i="4" s="1"/>
  <c r="V14" i="4" a="1"/>
  <c r="V14" i="4" s="1"/>
  <c r="AA14" i="4" a="1"/>
  <c r="AA14" i="4" s="1"/>
  <c r="U14" i="4" a="1"/>
  <c r="U14" i="4" s="1"/>
  <c r="Z14" i="4" a="1"/>
  <c r="Z14" i="4" s="1"/>
  <c r="AC14" i="4" a="1"/>
  <c r="AC14" i="4" s="1"/>
  <c r="X15" i="4" a="1"/>
  <c r="X15" i="4" s="1"/>
  <c r="AB15" i="5"/>
  <c r="AF15" i="5"/>
  <c r="AE15" i="5"/>
  <c r="AD15" i="5"/>
  <c r="AA15" i="5"/>
  <c r="X17" i="4" s="1" a="1"/>
  <c r="X17" i="4" s="1"/>
  <c r="Z15" i="5"/>
  <c r="W17" i="4" s="1" a="1"/>
  <c r="W17" i="4" s="1"/>
  <c r="Y15" i="5"/>
  <c r="V17" i="4" s="1" a="1"/>
  <c r="V17" i="4" s="1"/>
  <c r="W15" i="5"/>
  <c r="T17" i="4" s="1" a="1"/>
  <c r="T17" i="4" s="1"/>
  <c r="AC15" i="5"/>
  <c r="AI15" i="5"/>
  <c r="AH15" i="5"/>
  <c r="AE17" i="4" s="1" a="1"/>
  <c r="AE17" i="4" s="1"/>
  <c r="AG15" i="5"/>
  <c r="AD17" i="4" s="1" a="1"/>
  <c r="AD17" i="4" s="1"/>
  <c r="X15" i="5"/>
  <c r="U17" i="4" s="1" a="1"/>
  <c r="U17" i="4" s="1"/>
  <c r="F4" i="2"/>
  <c r="AJ13" i="4" a="1"/>
  <c r="AJ13" i="4" s="1"/>
  <c r="AK11" i="5"/>
  <c r="AK13" i="4" s="1" a="1"/>
  <c r="AK13" i="4" s="1"/>
  <c r="L14" i="4" a="1"/>
  <c r="L14" i="4" s="1"/>
  <c r="F14" i="4" a="1"/>
  <c r="F14" i="4" s="1"/>
  <c r="C14" i="4" a="1"/>
  <c r="C14" i="4" s="1"/>
  <c r="AJ12" i="5"/>
  <c r="C15" i="4" a="1"/>
  <c r="C15" i="4" s="1"/>
  <c r="AJ13" i="5"/>
  <c r="C16" i="4" a="1"/>
  <c r="C16" i="4" s="1"/>
  <c r="AJ14" i="5"/>
  <c r="BT17" i="5"/>
  <c r="BU16" i="5"/>
  <c r="R15" i="5"/>
  <c r="O17" i="4" s="1" a="1"/>
  <c r="O17" i="4" s="1"/>
  <c r="T15" i="5"/>
  <c r="F15" i="5"/>
  <c r="H15" i="5"/>
  <c r="E17" i="4" s="1" a="1"/>
  <c r="E17" i="4" s="1"/>
  <c r="I15" i="5"/>
  <c r="F17" i="4" s="1" a="1"/>
  <c r="F17" i="4" s="1"/>
  <c r="J15" i="5"/>
  <c r="S15" i="5"/>
  <c r="U15" i="5"/>
  <c r="R17" i="4" s="1" a="1"/>
  <c r="R17" i="4" s="1"/>
  <c r="V15" i="5"/>
  <c r="S17" i="4" s="1" a="1"/>
  <c r="S17" i="4" s="1"/>
  <c r="K15" i="5"/>
  <c r="L15" i="5"/>
  <c r="N15" i="5"/>
  <c r="O15" i="5"/>
  <c r="P15" i="5"/>
  <c r="M17" i="4" s="1" a="1"/>
  <c r="M17" i="4" s="1"/>
  <c r="Q15" i="5"/>
  <c r="G15" i="5"/>
  <c r="M15" i="5"/>
  <c r="K14" i="4" a="1"/>
  <c r="K14" i="4" s="1"/>
  <c r="N14" i="4" a="1"/>
  <c r="N14" i="4" s="1"/>
  <c r="O14" i="4" a="1"/>
  <c r="O14" i="4" s="1"/>
  <c r="R14" i="4" a="1"/>
  <c r="R14" i="4" s="1"/>
  <c r="P14" i="4" a="1"/>
  <c r="P14" i="4" s="1"/>
  <c r="I14" i="4" a="1"/>
  <c r="I14" i="4" s="1"/>
  <c r="J14" i="4" a="1"/>
  <c r="J14" i="4" s="1"/>
  <c r="S15" i="4" a="1"/>
  <c r="S15" i="4" s="1"/>
  <c r="F15" i="4" a="1"/>
  <c r="F15" i="4" s="1"/>
  <c r="M16" i="4" a="1"/>
  <c r="M16" i="4" s="1"/>
  <c r="G16" i="4" a="1"/>
  <c r="G16" i="4" s="1"/>
  <c r="E16" i="4" a="1"/>
  <c r="E16" i="4" s="1"/>
  <c r="AB17" i="4" l="1" a="1"/>
  <c r="AB17" i="4" s="1"/>
  <c r="AA17" i="4" a="1"/>
  <c r="AA17" i="4" s="1"/>
  <c r="Y17" i="4" a="1"/>
  <c r="Y17" i="4" s="1"/>
  <c r="AC17" i="4" a="1"/>
  <c r="AC17" i="4" s="1"/>
  <c r="Z17" i="4" a="1"/>
  <c r="Z17" i="4" s="1"/>
  <c r="AF17" i="4" a="1"/>
  <c r="AF17" i="4" s="1"/>
  <c r="AD16" i="5"/>
  <c r="AB16" i="5"/>
  <c r="AF16" i="5"/>
  <c r="AE16" i="5"/>
  <c r="AH16" i="5"/>
  <c r="X16" i="5"/>
  <c r="AG16" i="5"/>
  <c r="W16" i="5"/>
  <c r="Y16" i="5"/>
  <c r="AA16" i="5"/>
  <c r="Z16" i="5"/>
  <c r="AI16" i="5"/>
  <c r="AF18" i="4" s="1" a="1"/>
  <c r="AF18" i="4" s="1"/>
  <c r="AC16" i="5"/>
  <c r="AJ14" i="4" a="1"/>
  <c r="AJ14" i="4" s="1"/>
  <c r="F5" i="2"/>
  <c r="AK12" i="5"/>
  <c r="AK14" i="4" s="1" a="1"/>
  <c r="AK14" i="4" s="1"/>
  <c r="F6" i="2"/>
  <c r="AJ15" i="4" a="1"/>
  <c r="AJ15" i="4" s="1"/>
  <c r="AK13" i="5"/>
  <c r="AK15" i="4" s="1" a="1"/>
  <c r="AK15" i="4" s="1"/>
  <c r="AK14" i="5"/>
  <c r="AK16" i="4" s="1" a="1"/>
  <c r="AK16" i="4" s="1"/>
  <c r="AJ16" i="4" a="1"/>
  <c r="AJ16" i="4" s="1"/>
  <c r="F7" i="2"/>
  <c r="BT18" i="5"/>
  <c r="BU17" i="5"/>
  <c r="V16" i="5"/>
  <c r="P16" i="5"/>
  <c r="I16" i="5"/>
  <c r="H16" i="5"/>
  <c r="G16" i="5"/>
  <c r="D18" i="4" s="1" a="1"/>
  <c r="D18" i="4" s="1"/>
  <c r="F16" i="5"/>
  <c r="U16" i="5"/>
  <c r="R16" i="5"/>
  <c r="N16" i="5"/>
  <c r="L16" i="5"/>
  <c r="J16" i="5"/>
  <c r="G18" i="4" s="1" a="1"/>
  <c r="G18" i="4" s="1"/>
  <c r="S16" i="5"/>
  <c r="O16" i="5"/>
  <c r="M16" i="5"/>
  <c r="T16" i="5"/>
  <c r="Q16" i="5"/>
  <c r="K16" i="5"/>
  <c r="Q17" i="4" a="1"/>
  <c r="Q17" i="4" s="1"/>
  <c r="C17" i="4" a="1"/>
  <c r="C17" i="4" s="1"/>
  <c r="AJ15" i="5"/>
  <c r="H17" i="4" a="1"/>
  <c r="H17" i="4" s="1"/>
  <c r="D17" i="4" a="1"/>
  <c r="D17" i="4" s="1"/>
  <c r="J17" i="4" a="1"/>
  <c r="J17" i="4" s="1"/>
  <c r="G17" i="4" a="1"/>
  <c r="G17" i="4" s="1"/>
  <c r="P17" i="4" a="1"/>
  <c r="P17" i="4" s="1"/>
  <c r="I17" i="4" a="1"/>
  <c r="I17" i="4" s="1"/>
  <c r="K17" i="4" a="1"/>
  <c r="K17" i="4" s="1"/>
  <c r="L17" i="4" a="1"/>
  <c r="L17" i="4" s="1"/>
  <c r="N17" i="4" a="1"/>
  <c r="N17" i="4" s="1"/>
  <c r="I18" i="4" l="1" a="1"/>
  <c r="I18" i="4" s="1"/>
  <c r="AA18" i="4" a="1"/>
  <c r="AA18" i="4" s="1"/>
  <c r="AE18" i="4" a="1"/>
  <c r="AE18" i="4" s="1"/>
  <c r="U18" i="4" a="1"/>
  <c r="U18" i="4" s="1"/>
  <c r="AD18" i="4" a="1"/>
  <c r="AD18" i="4" s="1"/>
  <c r="T18" i="4" a="1"/>
  <c r="T18" i="4" s="1"/>
  <c r="V18" i="4" a="1"/>
  <c r="V18" i="4" s="1"/>
  <c r="X18" i="4" a="1"/>
  <c r="X18" i="4" s="1"/>
  <c r="W18" i="4" a="1"/>
  <c r="W18" i="4" s="1"/>
  <c r="Y18" i="4" a="1"/>
  <c r="Y18" i="4" s="1"/>
  <c r="AC18" i="4" a="1"/>
  <c r="AC18" i="4" s="1"/>
  <c r="AB18" i="4" a="1"/>
  <c r="AB18" i="4" s="1"/>
  <c r="Z18" i="4" a="1"/>
  <c r="Z18" i="4" s="1"/>
  <c r="AA17" i="5"/>
  <c r="X19" i="4" s="1" a="1"/>
  <c r="X19" i="4" s="1"/>
  <c r="AB17" i="5"/>
  <c r="Y19" i="4" s="1" a="1"/>
  <c r="Y19" i="4" s="1"/>
  <c r="Y17" i="5"/>
  <c r="X17" i="5"/>
  <c r="U19" i="4" s="1" a="1"/>
  <c r="U19" i="4" s="1"/>
  <c r="AC17" i="5"/>
  <c r="Z19" i="4" s="1" a="1"/>
  <c r="Z19" i="4" s="1"/>
  <c r="AF17" i="5"/>
  <c r="AG17" i="5"/>
  <c r="AD19" i="4" s="1" a="1"/>
  <c r="AD19" i="4" s="1"/>
  <c r="AH17" i="5"/>
  <c r="AE19" i="4" s="1" a="1"/>
  <c r="AE19" i="4" s="1"/>
  <c r="AI17" i="5"/>
  <c r="AD17" i="5"/>
  <c r="AA19" i="4" s="1" a="1"/>
  <c r="AA19" i="4" s="1"/>
  <c r="W17" i="5"/>
  <c r="T19" i="4" s="1" a="1"/>
  <c r="T19" i="4" s="1"/>
  <c r="AE17" i="5"/>
  <c r="AB19" i="4" s="1" a="1"/>
  <c r="AB19" i="4" s="1"/>
  <c r="Z17" i="5"/>
  <c r="W19" i="4" s="1" a="1"/>
  <c r="W19" i="4" s="1"/>
  <c r="O17" i="5"/>
  <c r="N17" i="5"/>
  <c r="K19" i="4" s="1" a="1"/>
  <c r="K19" i="4" s="1"/>
  <c r="M17" i="5"/>
  <c r="Q17" i="5"/>
  <c r="K17" i="5"/>
  <c r="H19" i="4" s="1" a="1"/>
  <c r="H19" i="4" s="1"/>
  <c r="H17" i="5"/>
  <c r="G17" i="5"/>
  <c r="F17" i="5"/>
  <c r="T17" i="5"/>
  <c r="L17" i="5"/>
  <c r="I17" i="5"/>
  <c r="F19" i="4" s="1" a="1"/>
  <c r="F19" i="4" s="1"/>
  <c r="S17" i="5"/>
  <c r="P19" i="4" s="1" a="1"/>
  <c r="P19" i="4" s="1"/>
  <c r="U17" i="5"/>
  <c r="R19" i="4" s="1" a="1"/>
  <c r="R19" i="4" s="1"/>
  <c r="V17" i="5"/>
  <c r="P17" i="5"/>
  <c r="J17" i="5"/>
  <c r="R17" i="5"/>
  <c r="O19" i="4" s="1" a="1"/>
  <c r="O19" i="4" s="1"/>
  <c r="S18" i="4" a="1"/>
  <c r="S18" i="4" s="1"/>
  <c r="M18" i="4" a="1"/>
  <c r="M18" i="4" s="1"/>
  <c r="F18" i="4" a="1"/>
  <c r="F18" i="4" s="1"/>
  <c r="E18" i="4" a="1"/>
  <c r="E18" i="4" s="1"/>
  <c r="C18" i="4" a="1"/>
  <c r="C18" i="4" s="1"/>
  <c r="AJ16" i="5"/>
  <c r="R18" i="4" a="1"/>
  <c r="R18" i="4" s="1"/>
  <c r="O18" i="4" a="1"/>
  <c r="O18" i="4" s="1"/>
  <c r="AJ17" i="4" a="1"/>
  <c r="AJ17" i="4" s="1"/>
  <c r="F8" i="2"/>
  <c r="AK15" i="5"/>
  <c r="AK17" i="4" s="1" a="1"/>
  <c r="AK17" i="4" s="1"/>
  <c r="BU18" i="5"/>
  <c r="BT19" i="5"/>
  <c r="K18" i="4" a="1"/>
  <c r="K18" i="4" s="1"/>
  <c r="P18" i="4" a="1"/>
  <c r="P18" i="4" s="1"/>
  <c r="L18" i="4" a="1"/>
  <c r="L18" i="4" s="1"/>
  <c r="J18" i="4" a="1"/>
  <c r="J18" i="4" s="1"/>
  <c r="Q18" i="4" a="1"/>
  <c r="Q18" i="4" s="1"/>
  <c r="N18" i="4" a="1"/>
  <c r="N18" i="4" s="1"/>
  <c r="H18" i="4" a="1"/>
  <c r="H18" i="4" s="1"/>
  <c r="AF19" i="4" l="1" a="1"/>
  <c r="AF19" i="4" s="1"/>
  <c r="V19" i="4" a="1"/>
  <c r="V19" i="4" s="1"/>
  <c r="AC19" i="4" a="1"/>
  <c r="AC19" i="4" s="1"/>
  <c r="AI18" i="5"/>
  <c r="AG18" i="5"/>
  <c r="AF18" i="5"/>
  <c r="AC20" i="4" s="1" a="1"/>
  <c r="AC20" i="4" s="1"/>
  <c r="AE18" i="5"/>
  <c r="AD18" i="5"/>
  <c r="AC18" i="5"/>
  <c r="AB18" i="5"/>
  <c r="AA18" i="5"/>
  <c r="Z18" i="5"/>
  <c r="Y18" i="5"/>
  <c r="X18" i="5"/>
  <c r="W18" i="5"/>
  <c r="AH18" i="5"/>
  <c r="D19" i="4" a="1"/>
  <c r="D19" i="4" s="1"/>
  <c r="C19" i="4" a="1"/>
  <c r="C19" i="4" s="1"/>
  <c r="AJ17" i="5"/>
  <c r="I19" i="4" a="1"/>
  <c r="I19" i="4" s="1"/>
  <c r="G19" i="4" a="1"/>
  <c r="G19" i="4" s="1"/>
  <c r="AK16" i="5"/>
  <c r="AK18" i="4" s="1" a="1"/>
  <c r="AK18" i="4" s="1"/>
  <c r="AJ18" i="4" a="1"/>
  <c r="AJ18" i="4" s="1"/>
  <c r="F9" i="2"/>
  <c r="J18" i="5"/>
  <c r="N18" i="5"/>
  <c r="Q18" i="5"/>
  <c r="U18" i="5"/>
  <c r="V18" i="5"/>
  <c r="R18" i="5"/>
  <c r="O18" i="5"/>
  <c r="H18" i="5"/>
  <c r="E20" i="4" s="1" a="1"/>
  <c r="E20" i="4" s="1"/>
  <c r="K18" i="5"/>
  <c r="T18" i="5"/>
  <c r="S18" i="5"/>
  <c r="P18" i="5"/>
  <c r="M18" i="5"/>
  <c r="I18" i="5"/>
  <c r="F18" i="5"/>
  <c r="L18" i="5"/>
  <c r="G18" i="5"/>
  <c r="L19" i="4" a="1"/>
  <c r="L19" i="4" s="1"/>
  <c r="J19" i="4" a="1"/>
  <c r="J19" i="4" s="1"/>
  <c r="N19" i="4" a="1"/>
  <c r="N19" i="4" s="1"/>
  <c r="E19" i="4" a="1"/>
  <c r="E19" i="4" s="1"/>
  <c r="Q19" i="4" a="1"/>
  <c r="Q19" i="4" s="1"/>
  <c r="S19" i="4" a="1"/>
  <c r="S19" i="4" s="1"/>
  <c r="M19" i="4" a="1"/>
  <c r="M19" i="4" s="1"/>
  <c r="BU19" i="5"/>
  <c r="BT20" i="5"/>
  <c r="BT21" i="5" s="1"/>
  <c r="BU21" i="5" s="1"/>
  <c r="AD20" i="4" l="1" a="1"/>
  <c r="AD20" i="4" s="1"/>
  <c r="AB20" i="4" a="1"/>
  <c r="AB20" i="4" s="1"/>
  <c r="AA20" i="4" a="1"/>
  <c r="AA20" i="4" s="1"/>
  <c r="Z20" i="4" a="1"/>
  <c r="Z20" i="4" s="1"/>
  <c r="Y20" i="4" a="1"/>
  <c r="Y20" i="4" s="1"/>
  <c r="X20" i="4" a="1"/>
  <c r="X20" i="4" s="1"/>
  <c r="W20" i="4" a="1"/>
  <c r="W20" i="4" s="1"/>
  <c r="U20" i="4" a="1"/>
  <c r="U20" i="4" s="1"/>
  <c r="T20" i="4" a="1"/>
  <c r="T20" i="4" s="1"/>
  <c r="AE20" i="4" a="1"/>
  <c r="AE20" i="4" s="1"/>
  <c r="AF20" i="4" a="1"/>
  <c r="AF20" i="4" s="1"/>
  <c r="V20" i="4" a="1"/>
  <c r="V20" i="4" s="1"/>
  <c r="Y19" i="5"/>
  <c r="AB19" i="5"/>
  <c r="Y21" i="4" s="1" a="1"/>
  <c r="Y21" i="4" s="1"/>
  <c r="AC19" i="5"/>
  <c r="Z21" i="4" s="1" a="1"/>
  <c r="Z21" i="4" s="1"/>
  <c r="AE19" i="5"/>
  <c r="AB21" i="4" s="1" a="1"/>
  <c r="AB21" i="4" s="1"/>
  <c r="AH19" i="5"/>
  <c r="AE21" i="4" s="1" a="1"/>
  <c r="AE21" i="4" s="1"/>
  <c r="Z19" i="5"/>
  <c r="W21" i="4" s="1" a="1"/>
  <c r="W21" i="4" s="1"/>
  <c r="X19" i="5"/>
  <c r="U21" i="4" s="1" a="1"/>
  <c r="U21" i="4" s="1"/>
  <c r="W19" i="5"/>
  <c r="T21" i="4" s="1" a="1"/>
  <c r="T21" i="4" s="1"/>
  <c r="AD19" i="5"/>
  <c r="AA21" i="4" s="1" a="1"/>
  <c r="AA21" i="4" s="1"/>
  <c r="AF19" i="5"/>
  <c r="AG19" i="5"/>
  <c r="AD21" i="4" s="1" a="1"/>
  <c r="AD21" i="4" s="1"/>
  <c r="AI19" i="5"/>
  <c r="AA19" i="5"/>
  <c r="X21" i="4" s="1" a="1"/>
  <c r="X21" i="4" s="1"/>
  <c r="Z21" i="5"/>
  <c r="W23" i="4" s="1" a="1"/>
  <c r="W23" i="4" s="1"/>
  <c r="AH21" i="5"/>
  <c r="AE23" i="4" s="1" a="1"/>
  <c r="AE23" i="4" s="1"/>
  <c r="AC21" i="5"/>
  <c r="Z23" i="4" s="1" a="1"/>
  <c r="Z23" i="4" s="1"/>
  <c r="AD21" i="5"/>
  <c r="AA23" i="4" s="1" a="1"/>
  <c r="AA23" i="4" s="1"/>
  <c r="AE21" i="5"/>
  <c r="AB23" i="4" s="1" a="1"/>
  <c r="AB23" i="4" s="1"/>
  <c r="AF21" i="5"/>
  <c r="AC23" i="4" s="1" a="1"/>
  <c r="AC23" i="4" s="1"/>
  <c r="AI21" i="5"/>
  <c r="AF23" i="4" s="1" a="1"/>
  <c r="AF23" i="4" s="1"/>
  <c r="AB21" i="5"/>
  <c r="Y23" i="4" s="1" a="1"/>
  <c r="Y23" i="4" s="1"/>
  <c r="AA21" i="5"/>
  <c r="X23" i="4" s="1" a="1"/>
  <c r="X23" i="4" s="1"/>
  <c r="AG21" i="5"/>
  <c r="AD23" i="4" s="1" a="1"/>
  <c r="AD23" i="4" s="1"/>
  <c r="Y21" i="5"/>
  <c r="V23" i="4" s="1" a="1"/>
  <c r="V23" i="4" s="1"/>
  <c r="X21" i="5"/>
  <c r="U23" i="4" s="1" a="1"/>
  <c r="U23" i="4" s="1"/>
  <c r="W21" i="5"/>
  <c r="T23" i="4" s="1" a="1"/>
  <c r="T23" i="4" s="1"/>
  <c r="F10" i="2"/>
  <c r="AJ19" i="4" a="1"/>
  <c r="AJ19" i="4" s="1"/>
  <c r="AK17" i="5"/>
  <c r="AK19" i="4" s="1" a="1"/>
  <c r="AK19" i="4" s="1"/>
  <c r="K20" i="4" a="1"/>
  <c r="K20" i="4" s="1"/>
  <c r="R20" i="4" a="1"/>
  <c r="R20" i="4" s="1"/>
  <c r="O20" i="4" a="1"/>
  <c r="O20" i="4" s="1"/>
  <c r="H20" i="4" a="1"/>
  <c r="H20" i="4" s="1"/>
  <c r="P20" i="4" a="1"/>
  <c r="P20" i="4" s="1"/>
  <c r="F20" i="4" a="1"/>
  <c r="F20" i="4" s="1"/>
  <c r="C20" i="4" a="1"/>
  <c r="C20" i="4" s="1"/>
  <c r="AJ18" i="5"/>
  <c r="V19" i="5"/>
  <c r="S21" i="4" s="1" a="1"/>
  <c r="S21" i="4" s="1"/>
  <c r="G19" i="5"/>
  <c r="L19" i="5"/>
  <c r="I19" i="5"/>
  <c r="M19" i="5"/>
  <c r="J21" i="4" s="1" a="1"/>
  <c r="J21" i="4" s="1"/>
  <c r="R19" i="5"/>
  <c r="O21" i="4" s="1" a="1"/>
  <c r="O21" i="4" s="1"/>
  <c r="P19" i="5"/>
  <c r="F19" i="5"/>
  <c r="S19" i="5"/>
  <c r="P21" i="4" s="1" a="1"/>
  <c r="P21" i="4" s="1"/>
  <c r="K19" i="5"/>
  <c r="H21" i="4" s="1" a="1"/>
  <c r="H21" i="4" s="1"/>
  <c r="N19" i="5"/>
  <c r="Q19" i="5"/>
  <c r="N21" i="4" s="1" a="1"/>
  <c r="N21" i="4" s="1"/>
  <c r="T19" i="5"/>
  <c r="O19" i="5"/>
  <c r="J19" i="5"/>
  <c r="H19" i="5"/>
  <c r="U19" i="5"/>
  <c r="L21" i="5"/>
  <c r="I23" i="4" s="1" a="1"/>
  <c r="I23" i="4" s="1"/>
  <c r="M21" i="5"/>
  <c r="J23" i="4" s="1" a="1"/>
  <c r="J23" i="4" s="1"/>
  <c r="J21" i="5"/>
  <c r="G23" i="4" s="1" a="1"/>
  <c r="G23" i="4" s="1"/>
  <c r="H21" i="5"/>
  <c r="E23" i="4" s="1" a="1"/>
  <c r="E23" i="4" s="1"/>
  <c r="F21" i="5"/>
  <c r="U21" i="5"/>
  <c r="R23" i="4" s="1" a="1"/>
  <c r="R23" i="4" s="1"/>
  <c r="V21" i="5"/>
  <c r="S23" i="4" s="1" a="1"/>
  <c r="S23" i="4" s="1"/>
  <c r="R21" i="5"/>
  <c r="O23" i="4" s="1" a="1"/>
  <c r="O23" i="4" s="1"/>
  <c r="O21" i="5"/>
  <c r="L23" i="4" s="1" a="1"/>
  <c r="L23" i="4" s="1"/>
  <c r="S21" i="5"/>
  <c r="P23" i="4" s="1" a="1"/>
  <c r="P23" i="4" s="1"/>
  <c r="Q21" i="5"/>
  <c r="N23" i="4" s="1" a="1"/>
  <c r="N23" i="4" s="1"/>
  <c r="P21" i="5"/>
  <c r="M23" i="4" s="1" a="1"/>
  <c r="M23" i="4" s="1"/>
  <c r="K21" i="5"/>
  <c r="H23" i="4" s="1" a="1"/>
  <c r="H23" i="4" s="1"/>
  <c r="I21" i="5"/>
  <c r="F23" i="4" s="1" a="1"/>
  <c r="F23" i="4" s="1"/>
  <c r="G21" i="5"/>
  <c r="D23" i="4" s="1" a="1"/>
  <c r="D23" i="4" s="1"/>
  <c r="N21" i="5"/>
  <c r="K23" i="4" s="1" a="1"/>
  <c r="K23" i="4" s="1"/>
  <c r="T21" i="5"/>
  <c r="Q23" i="4" s="1" a="1"/>
  <c r="Q23" i="4" s="1"/>
  <c r="G20" i="4" a="1"/>
  <c r="G20" i="4" s="1"/>
  <c r="N20" i="4" a="1"/>
  <c r="N20" i="4" s="1"/>
  <c r="S20" i="4" a="1"/>
  <c r="S20" i="4" s="1"/>
  <c r="L20" i="4" a="1"/>
  <c r="L20" i="4" s="1"/>
  <c r="Q20" i="4" a="1"/>
  <c r="Q20" i="4" s="1"/>
  <c r="M20" i="4" a="1"/>
  <c r="M20" i="4" s="1"/>
  <c r="J20" i="4" a="1"/>
  <c r="J20" i="4" s="1"/>
  <c r="I20" i="4" a="1"/>
  <c r="I20" i="4" s="1"/>
  <c r="D20" i="4" a="1"/>
  <c r="D20" i="4" s="1"/>
  <c r="BU20" i="5"/>
  <c r="BT22" i="5"/>
  <c r="BU22" i="5" s="1"/>
  <c r="AC21" i="4" l="1" a="1"/>
  <c r="AC21" i="4" s="1"/>
  <c r="V21" i="4" a="1"/>
  <c r="V21" i="4" s="1"/>
  <c r="AF21" i="4" a="1"/>
  <c r="AF21" i="4" s="1"/>
  <c r="AE20" i="5"/>
  <c r="AF20" i="5"/>
  <c r="AI20" i="5"/>
  <c r="AH20" i="5"/>
  <c r="X20" i="5"/>
  <c r="Y20" i="5"/>
  <c r="V22" i="4" s="1" a="1"/>
  <c r="V22" i="4" s="1"/>
  <c r="Z20" i="5"/>
  <c r="AA20" i="5"/>
  <c r="AB20" i="5"/>
  <c r="AC20" i="5"/>
  <c r="AD20" i="5"/>
  <c r="W20" i="5"/>
  <c r="AG20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AJ20" i="4" a="1"/>
  <c r="AJ20" i="4" s="1"/>
  <c r="F11" i="2"/>
  <c r="AK18" i="5"/>
  <c r="AK20" i="4" s="1" a="1"/>
  <c r="AK20" i="4" s="1"/>
  <c r="C21" i="4" a="1"/>
  <c r="C21" i="4" s="1"/>
  <c r="AJ19" i="5"/>
  <c r="E21" i="4" a="1"/>
  <c r="E21" i="4" s="1"/>
  <c r="C23" i="4" a="1"/>
  <c r="C23" i="4" s="1"/>
  <c r="AJ21" i="5"/>
  <c r="V20" i="5"/>
  <c r="N20" i="5"/>
  <c r="L20" i="5"/>
  <c r="K20" i="5"/>
  <c r="G20" i="5"/>
  <c r="T20" i="5"/>
  <c r="R20" i="5"/>
  <c r="P20" i="5"/>
  <c r="M20" i="5"/>
  <c r="F20" i="5"/>
  <c r="S20" i="5"/>
  <c r="Q20" i="5"/>
  <c r="O20" i="5"/>
  <c r="L22" i="4" s="1" a="1"/>
  <c r="L22" i="4" s="1"/>
  <c r="H20" i="5"/>
  <c r="U20" i="5"/>
  <c r="J20" i="5"/>
  <c r="I20" i="5"/>
  <c r="F22" i="4" s="1" a="1"/>
  <c r="F22" i="4" s="1"/>
  <c r="U22" i="5"/>
  <c r="T22" i="5"/>
  <c r="J22" i="5"/>
  <c r="I22" i="5"/>
  <c r="H22" i="5"/>
  <c r="F22" i="5"/>
  <c r="V22" i="5"/>
  <c r="S22" i="5"/>
  <c r="G22" i="5"/>
  <c r="R22" i="5"/>
  <c r="Q22" i="5"/>
  <c r="P22" i="5"/>
  <c r="O22" i="5"/>
  <c r="N22" i="5"/>
  <c r="M22" i="5"/>
  <c r="L22" i="5"/>
  <c r="K22" i="5"/>
  <c r="D21" i="4" a="1"/>
  <c r="D21" i="4" s="1"/>
  <c r="I21" i="4" a="1"/>
  <c r="I21" i="4" s="1"/>
  <c r="F21" i="4" a="1"/>
  <c r="F21" i="4" s="1"/>
  <c r="M21" i="4" a="1"/>
  <c r="M21" i="4" s="1"/>
  <c r="K21" i="4" a="1"/>
  <c r="K21" i="4" s="1"/>
  <c r="Q21" i="4" a="1"/>
  <c r="Q21" i="4" s="1"/>
  <c r="L21" i="4" a="1"/>
  <c r="L21" i="4" s="1"/>
  <c r="G21" i="4" a="1"/>
  <c r="G21" i="4" s="1"/>
  <c r="R21" i="4" a="1"/>
  <c r="R21" i="4" s="1"/>
  <c r="F86" i="5" l="1"/>
  <c r="L86" i="5"/>
  <c r="Y86" i="5"/>
  <c r="AE86" i="5"/>
  <c r="AB22" i="4" a="1"/>
  <c r="AB22" i="4" s="1"/>
  <c r="AH86" i="5"/>
  <c r="AE22" i="4" a="1"/>
  <c r="AE22" i="4" s="1"/>
  <c r="X86" i="5"/>
  <c r="U22" i="4" a="1"/>
  <c r="U22" i="4" s="1"/>
  <c r="Z86" i="5"/>
  <c r="W22" i="4" a="1"/>
  <c r="W22" i="4" s="1"/>
  <c r="AA86" i="5"/>
  <c r="X22" i="4" a="1"/>
  <c r="X22" i="4" s="1"/>
  <c r="AB86" i="5"/>
  <c r="Y22" i="4" a="1"/>
  <c r="Y22" i="4" s="1"/>
  <c r="AC86" i="5"/>
  <c r="Z22" i="4" a="1"/>
  <c r="Z22" i="4" s="1"/>
  <c r="AD86" i="5"/>
  <c r="AA22" i="4" a="1"/>
  <c r="AA22" i="4" s="1"/>
  <c r="W86" i="5"/>
  <c r="T22" i="4" a="1"/>
  <c r="T22" i="4" s="1"/>
  <c r="AG86" i="5"/>
  <c r="AD22" i="4" a="1"/>
  <c r="AD22" i="4" s="1"/>
  <c r="AI84" i="5"/>
  <c r="AI85" i="5"/>
  <c r="AF24" i="4" a="1"/>
  <c r="AF24" i="4" s="1"/>
  <c r="AH84" i="5"/>
  <c r="AH85" i="5"/>
  <c r="AE24" i="4" a="1"/>
  <c r="AE24" i="4" s="1"/>
  <c r="AG84" i="5"/>
  <c r="AG85" i="5"/>
  <c r="AD24" i="4" a="1"/>
  <c r="AD24" i="4" s="1"/>
  <c r="AF85" i="5"/>
  <c r="AF84" i="5"/>
  <c r="AC24" i="4" a="1"/>
  <c r="AC24" i="4" s="1"/>
  <c r="AE85" i="5"/>
  <c r="AE84" i="5"/>
  <c r="AB24" i="4" a="1"/>
  <c r="AB24" i="4" s="1"/>
  <c r="AD85" i="5"/>
  <c r="AD84" i="5"/>
  <c r="AA24" i="4" a="1"/>
  <c r="AA24" i="4" s="1"/>
  <c r="AC85" i="5"/>
  <c r="AC84" i="5"/>
  <c r="Z24" i="4" a="1"/>
  <c r="Z24" i="4" s="1"/>
  <c r="AB85" i="5"/>
  <c r="AB84" i="5"/>
  <c r="Y24" i="4" a="1"/>
  <c r="Y24" i="4" s="1"/>
  <c r="AA85" i="5"/>
  <c r="AA84" i="5"/>
  <c r="X24" i="4" a="1"/>
  <c r="X24" i="4" s="1"/>
  <c r="Z85" i="5"/>
  <c r="Z84" i="5"/>
  <c r="W24" i="4" a="1"/>
  <c r="W24" i="4" s="1"/>
  <c r="Y84" i="5"/>
  <c r="Y85" i="5"/>
  <c r="V24" i="4" a="1"/>
  <c r="V24" i="4" s="1"/>
  <c r="X84" i="5"/>
  <c r="X85" i="5"/>
  <c r="U24" i="4" a="1"/>
  <c r="U24" i="4" s="1"/>
  <c r="W84" i="5"/>
  <c r="W85" i="5"/>
  <c r="T24" i="4" a="1"/>
  <c r="T24" i="4" s="1"/>
  <c r="O86" i="5"/>
  <c r="AC22" i="4" a="1"/>
  <c r="AC22" i="4" s="1"/>
  <c r="AF86" i="5"/>
  <c r="AF22" i="4" a="1"/>
  <c r="AF22" i="4" s="1"/>
  <c r="AI86" i="5"/>
  <c r="I86" i="5"/>
  <c r="K22" i="4" a="1"/>
  <c r="K22" i="4" s="1"/>
  <c r="N86" i="5"/>
  <c r="E22" i="4" a="1"/>
  <c r="E22" i="4" s="1"/>
  <c r="H86" i="5"/>
  <c r="F12" i="2"/>
  <c r="AJ21" i="4" a="1"/>
  <c r="AJ21" i="4" s="1"/>
  <c r="AK19" i="5"/>
  <c r="AK21" i="4" s="1" a="1"/>
  <c r="AK21" i="4" s="1"/>
  <c r="AK21" i="5"/>
  <c r="AK23" i="4" s="1" a="1"/>
  <c r="AK23" i="4" s="1"/>
  <c r="F14" i="2"/>
  <c r="AJ23" i="4" a="1"/>
  <c r="AJ23" i="4" s="1"/>
  <c r="V86" i="5"/>
  <c r="S22" i="4" a="1"/>
  <c r="S22" i="4" s="1"/>
  <c r="K86" i="5"/>
  <c r="H22" i="4" a="1"/>
  <c r="H22" i="4" s="1"/>
  <c r="R86" i="5"/>
  <c r="O22" i="4" a="1"/>
  <c r="O22" i="4" s="1"/>
  <c r="M86" i="5"/>
  <c r="J22" i="4" a="1"/>
  <c r="J22" i="4" s="1"/>
  <c r="C22" i="4" a="1"/>
  <c r="C22" i="4" s="1"/>
  <c r="AJ20" i="5"/>
  <c r="S86" i="5"/>
  <c r="P22" i="4" a="1"/>
  <c r="P22" i="4" s="1"/>
  <c r="Q86" i="5"/>
  <c r="N22" i="4" a="1"/>
  <c r="N22" i="4" s="1"/>
  <c r="U85" i="5"/>
  <c r="U84" i="5"/>
  <c r="R24" i="4" a="1"/>
  <c r="R24" i="4" s="1"/>
  <c r="T85" i="5"/>
  <c r="T84" i="5"/>
  <c r="Q24" i="4" a="1"/>
  <c r="Q24" i="4" s="1"/>
  <c r="J84" i="5"/>
  <c r="J85" i="5"/>
  <c r="G24" i="4" a="1"/>
  <c r="G24" i="4" s="1"/>
  <c r="I85" i="5"/>
  <c r="I84" i="5"/>
  <c r="F24" i="4" a="1"/>
  <c r="F24" i="4" s="1"/>
  <c r="H84" i="5"/>
  <c r="H85" i="5"/>
  <c r="E24" i="4" a="1"/>
  <c r="E24" i="4" s="1"/>
  <c r="F85" i="5"/>
  <c r="F84" i="5"/>
  <c r="C24" i="4" a="1"/>
  <c r="C24" i="4" s="1"/>
  <c r="AJ22" i="5"/>
  <c r="V85" i="5"/>
  <c r="V84" i="5"/>
  <c r="S24" i="4" a="1"/>
  <c r="S24" i="4" s="1"/>
  <c r="S84" i="5"/>
  <c r="S85" i="5"/>
  <c r="P24" i="4" a="1"/>
  <c r="P24" i="4" s="1"/>
  <c r="G84" i="5"/>
  <c r="G85" i="5"/>
  <c r="D24" i="4" a="1"/>
  <c r="D24" i="4" s="1"/>
  <c r="R85" i="5"/>
  <c r="R84" i="5"/>
  <c r="O24" i="4" a="1"/>
  <c r="O24" i="4" s="1"/>
  <c r="Q85" i="5"/>
  <c r="Q84" i="5"/>
  <c r="N24" i="4" a="1"/>
  <c r="N24" i="4" s="1"/>
  <c r="P85" i="5"/>
  <c r="P84" i="5"/>
  <c r="M24" i="4" a="1"/>
  <c r="M24" i="4" s="1"/>
  <c r="O84" i="5"/>
  <c r="O85" i="5"/>
  <c r="L24" i="4" a="1"/>
  <c r="L24" i="4" s="1"/>
  <c r="N85" i="5"/>
  <c r="N84" i="5"/>
  <c r="K24" i="4" a="1"/>
  <c r="K24" i="4" s="1"/>
  <c r="M84" i="5"/>
  <c r="M85" i="5"/>
  <c r="J24" i="4" a="1"/>
  <c r="J24" i="4" s="1"/>
  <c r="L84" i="5"/>
  <c r="L85" i="5"/>
  <c r="I24" i="4" a="1"/>
  <c r="I24" i="4" s="1"/>
  <c r="K85" i="5"/>
  <c r="K84" i="5"/>
  <c r="H24" i="4" a="1"/>
  <c r="H24" i="4" s="1"/>
  <c r="I22" i="4" a="1"/>
  <c r="I22" i="4" s="1"/>
  <c r="D22" i="4" a="1"/>
  <c r="D22" i="4" s="1"/>
  <c r="G86" i="5"/>
  <c r="Q22" i="4" a="1"/>
  <c r="Q22" i="4" s="1"/>
  <c r="T86" i="5"/>
  <c r="M22" i="4" a="1"/>
  <c r="M22" i="4" s="1"/>
  <c r="P86" i="5"/>
  <c r="R22" i="4" a="1"/>
  <c r="R22" i="4" s="1"/>
  <c r="U86" i="5"/>
  <c r="G22" i="4" a="1"/>
  <c r="G22" i="4" s="1"/>
  <c r="J86" i="5"/>
  <c r="V8" i="4" l="1"/>
  <c r="AA7" i="5"/>
  <c r="J7" i="5"/>
  <c r="E8" i="4"/>
  <c r="L8" i="4"/>
  <c r="Q7" i="5"/>
  <c r="AG7" i="5"/>
  <c r="AB8" i="4"/>
  <c r="AE8" i="4"/>
  <c r="AJ7" i="5"/>
  <c r="U8" i="4"/>
  <c r="Z7" i="5"/>
  <c r="AB7" i="5"/>
  <c r="W8" i="4"/>
  <c r="AC7" i="5"/>
  <c r="X8" i="4"/>
  <c r="AD7" i="5"/>
  <c r="Y8" i="4"/>
  <c r="AE7" i="5"/>
  <c r="Z8" i="4"/>
  <c r="AF7" i="5"/>
  <c r="AA8" i="4"/>
  <c r="Y7" i="5"/>
  <c r="T8" i="4"/>
  <c r="AD8" i="4"/>
  <c r="AI7" i="5"/>
  <c r="AF6" i="4"/>
  <c r="AK5" i="5"/>
  <c r="AK6" i="5"/>
  <c r="AF7" i="4"/>
  <c r="AJ5" i="5"/>
  <c r="AE6" i="4"/>
  <c r="AJ6" i="5"/>
  <c r="AE7" i="4"/>
  <c r="AD6" i="4"/>
  <c r="AI5" i="5"/>
  <c r="AD7" i="4"/>
  <c r="AI6" i="5"/>
  <c r="AH6" i="5"/>
  <c r="AC7" i="4"/>
  <c r="AH5" i="5"/>
  <c r="AC6" i="4"/>
  <c r="AB7" i="4"/>
  <c r="AG6" i="5"/>
  <c r="AB6" i="4"/>
  <c r="AG5" i="5"/>
  <c r="AA7" i="4"/>
  <c r="AF6" i="5"/>
  <c r="AF5" i="5"/>
  <c r="AA6" i="4"/>
  <c r="AE6" i="5"/>
  <c r="Z7" i="4"/>
  <c r="AE5" i="5"/>
  <c r="Z6" i="4"/>
  <c r="Y7" i="4"/>
  <c r="AD6" i="5"/>
  <c r="AD5" i="5"/>
  <c r="Y6" i="4"/>
  <c r="X7" i="4"/>
  <c r="AC6" i="5"/>
  <c r="AC5" i="5"/>
  <c r="X6" i="4"/>
  <c r="AB6" i="5"/>
  <c r="W7" i="4"/>
  <c r="W6" i="4"/>
  <c r="AB5" i="5"/>
  <c r="V6" i="4"/>
  <c r="AA5" i="5"/>
  <c r="AA6" i="5"/>
  <c r="V7" i="4"/>
  <c r="U6" i="4"/>
  <c r="Z5" i="5"/>
  <c r="Z6" i="5"/>
  <c r="U7" i="4"/>
  <c r="Y5" i="5"/>
  <c r="T6" i="4"/>
  <c r="T7" i="4"/>
  <c r="Y6" i="5"/>
  <c r="AH7" i="5"/>
  <c r="AC8" i="4"/>
  <c r="AK7" i="5"/>
  <c r="AF8" i="4"/>
  <c r="F8" i="4"/>
  <c r="K7" i="5"/>
  <c r="K8" i="4"/>
  <c r="P7" i="5"/>
  <c r="X7" i="5"/>
  <c r="S8" i="4"/>
  <c r="M7" i="5"/>
  <c r="H8" i="4"/>
  <c r="T7" i="5"/>
  <c r="O8" i="4"/>
  <c r="J8" i="4"/>
  <c r="O7" i="5"/>
  <c r="AJ86" i="5"/>
  <c r="D2" i="5"/>
  <c r="H7" i="5"/>
  <c r="C8" i="4"/>
  <c r="AK20" i="5"/>
  <c r="AK22" i="4" s="1" a="1"/>
  <c r="AK22" i="4" s="1"/>
  <c r="AJ22" i="4" a="1"/>
  <c r="AJ22" i="4" s="1"/>
  <c r="F13" i="2"/>
  <c r="U7" i="5"/>
  <c r="P8" i="4"/>
  <c r="N8" i="4"/>
  <c r="S7" i="5"/>
  <c r="W6" i="5"/>
  <c r="R7" i="4"/>
  <c r="W5" i="5"/>
  <c r="R6" i="4"/>
  <c r="Q7" i="4"/>
  <c r="V6" i="5"/>
  <c r="V5" i="5"/>
  <c r="Q6" i="4"/>
  <c r="L5" i="5"/>
  <c r="G6" i="4"/>
  <c r="G7" i="4"/>
  <c r="L6" i="5"/>
  <c r="K6" i="5"/>
  <c r="F7" i="4"/>
  <c r="F6" i="4"/>
  <c r="K5" i="5"/>
  <c r="J5" i="5"/>
  <c r="E6" i="4"/>
  <c r="E7" i="4"/>
  <c r="J6" i="5"/>
  <c r="AJ85" i="5"/>
  <c r="E6" i="5" s="1"/>
  <c r="C7" i="4"/>
  <c r="H6" i="5"/>
  <c r="C6" i="4"/>
  <c r="H5" i="5"/>
  <c r="E5" i="5"/>
  <c r="AJ24" i="4" a="1"/>
  <c r="AJ24" i="4" s="1"/>
  <c r="F15" i="2"/>
  <c r="AK22" i="5"/>
  <c r="AK24" i="4" s="1" a="1"/>
  <c r="AK24" i="4" s="1"/>
  <c r="S7" i="4"/>
  <c r="X6" i="5"/>
  <c r="S6" i="4"/>
  <c r="X5" i="5"/>
  <c r="P6" i="4"/>
  <c r="U5" i="5"/>
  <c r="P7" i="4"/>
  <c r="U6" i="5"/>
  <c r="I5" i="5"/>
  <c r="D6" i="4"/>
  <c r="I6" i="5"/>
  <c r="D7" i="4"/>
  <c r="T6" i="5"/>
  <c r="O7" i="4"/>
  <c r="T5" i="5"/>
  <c r="O6" i="4"/>
  <c r="S6" i="5"/>
  <c r="N7" i="4"/>
  <c r="N6" i="4"/>
  <c r="S5" i="5"/>
  <c r="M7" i="4"/>
  <c r="R6" i="5"/>
  <c r="R5" i="5"/>
  <c r="M6" i="4"/>
  <c r="Q5" i="5"/>
  <c r="L6" i="4"/>
  <c r="Q6" i="5"/>
  <c r="L7" i="4"/>
  <c r="K7" i="4"/>
  <c r="P6" i="5"/>
  <c r="P5" i="5"/>
  <c r="K6" i="4"/>
  <c r="J6" i="4"/>
  <c r="O5" i="5"/>
  <c r="J7" i="4"/>
  <c r="O6" i="5"/>
  <c r="I6" i="4"/>
  <c r="N5" i="5"/>
  <c r="I7" i="4"/>
  <c r="N6" i="5"/>
  <c r="M6" i="5"/>
  <c r="H7" i="4"/>
  <c r="H6" i="4"/>
  <c r="M5" i="5"/>
  <c r="N7" i="5"/>
  <c r="I8" i="4"/>
  <c r="I7" i="5"/>
  <c r="D8" i="4"/>
  <c r="Q8" i="4"/>
  <c r="V7" i="5"/>
  <c r="R7" i="5"/>
  <c r="M8" i="4"/>
  <c r="R8" i="4"/>
  <c r="W7" i="5"/>
  <c r="L7" i="5"/>
  <c r="G8" i="4"/>
  <c r="E7" i="5" l="1"/>
  <c r="AJ8" i="4"/>
  <c r="F2" i="5"/>
  <c r="I2" i="4" s="1"/>
  <c r="E2" i="4"/>
</calcChain>
</file>

<file path=xl/sharedStrings.xml><?xml version="1.0" encoding="utf-8"?>
<sst xmlns="http://schemas.openxmlformats.org/spreadsheetml/2006/main" count="1618" uniqueCount="230">
  <si>
    <t>Mã VTHH (*)</t>
  </si>
  <si>
    <t>PHÂN BỔ BÁN HÀNG THEO TỔNG TIỀN</t>
  </si>
  <si>
    <t>Tên VTHH (*)</t>
  </si>
  <si>
    <t>ĐVT chính</t>
  </si>
  <si>
    <t>Số lượng tồn tối thiểu</t>
  </si>
  <si>
    <t>Giá bán cố định</t>
  </si>
  <si>
    <t>BÁO CÁO CHI TIẾT SỐ LƯỢNG BÁN THEO NGÀY</t>
  </si>
  <si>
    <t>Tồn gốc (ẩn)</t>
  </si>
  <si>
    <t>Giá bán 1</t>
  </si>
  <si>
    <t>Giá bán 2</t>
  </si>
  <si>
    <t>Giá bán 3</t>
  </si>
  <si>
    <t>Tồn hiện tại</t>
  </si>
  <si>
    <t>Số lượng từ</t>
  </si>
  <si>
    <t>Số lượng đến</t>
  </si>
  <si>
    <t>Loại chiết khấu</t>
  </si>
  <si>
    <t>% hoặc số tiền CK</t>
  </si>
  <si>
    <t>Đơn vị tính</t>
  </si>
  <si>
    <t>Bánh Khoai Tây xá 4kg</t>
  </si>
  <si>
    <t>Nhập tổng tiền tại ô B3. Mọi mặt hàng có dữ liệu trong T4.2026 đều được đảo vị trí; phân bổ ngẫu nhiên ưu tiên tồn nhiều. Mặt hàng cuối tự cân chênh lệch.</t>
  </si>
  <si>
    <t>Đơn giá mua</t>
  </si>
  <si>
    <t>ĐVT chuyển đổi</t>
  </si>
  <si>
    <t>kg</t>
  </si>
  <si>
    <t>Tỷ lệ chuyển đổi</t>
  </si>
  <si>
    <t>Phép tính</t>
  </si>
  <si>
    <t>Giá bán cố định theo ĐVT chuyển đổi</t>
  </si>
  <si>
    <t>Giá bán 1 theo ĐVT chuyển đổi</t>
  </si>
  <si>
    <t>Giá bán 2 theo ĐVT chuyển đổi</t>
  </si>
  <si>
    <t>Giá bán 3 theo ĐVT chuyển đổi</t>
  </si>
  <si>
    <t>Mã VTHH lắp ráp/ tháo dỡ</t>
  </si>
  <si>
    <t>DOANH THU THÁNG</t>
  </si>
  <si>
    <t>Đơn vị tính VTHH lắp ráp/ tháo dỡ</t>
  </si>
  <si>
    <t>Tổng tiền cần phân bổ</t>
  </si>
  <si>
    <t>Số lượng VTHH lắp ráp/ tháo dỡ</t>
  </si>
  <si>
    <t>Đơn giá VTHH lắp ráp/ tháo dỡ</t>
  </si>
  <si>
    <t>Thành tiền VTHH lắp ráp/ tháo dỡ</t>
  </si>
  <si>
    <t>ĐÃ PHÂN BỔ</t>
  </si>
  <si>
    <t/>
  </si>
  <si>
    <t>Thùng</t>
  </si>
  <si>
    <t>*</t>
  </si>
  <si>
    <t>Kẹo Dẻo Bóc Vỏ vị Xoài 1kg PC</t>
  </si>
  <si>
    <t>Gói</t>
  </si>
  <si>
    <t>VP26_01</t>
  </si>
  <si>
    <t>Nước T-REXX Oishi Túi 180ml (5 bịch/T)</t>
  </si>
  <si>
    <t>Bịch</t>
  </si>
  <si>
    <t>Tổng đã phân bổ</t>
  </si>
  <si>
    <t>CHÊNH LỆCH</t>
  </si>
  <si>
    <t>VP26_02</t>
  </si>
  <si>
    <t>Bánh snack Oishi 2K (10 bịch/bao)</t>
  </si>
  <si>
    <t>Bao</t>
  </si>
  <si>
    <t>VP26_03</t>
  </si>
  <si>
    <t>Nước ÉP THẠCH Suso (48ly)</t>
  </si>
  <si>
    <t>Ly</t>
  </si>
  <si>
    <t>VP26_04</t>
  </si>
  <si>
    <t>Thạch Suso Tam Giác TÚI LƯỚI (62 cái)</t>
  </si>
  <si>
    <t>Cái</t>
  </si>
  <si>
    <t>VP26_05</t>
  </si>
  <si>
    <t>Bánh Choco PN TÚI 216g (12 cái/túi)</t>
  </si>
  <si>
    <t>Túi</t>
  </si>
  <si>
    <t>VP26_06</t>
  </si>
  <si>
    <t>Kẹo Cao Su Dinos 500g ( 69 viên)</t>
  </si>
  <si>
    <t>Viên</t>
  </si>
  <si>
    <t>Chênh lệch</t>
  </si>
  <si>
    <t>THÁNG PHÂN BỔ</t>
  </si>
  <si>
    <t>VP26_07</t>
  </si>
  <si>
    <t>Bánh Lương Khô 370g PC</t>
  </si>
  <si>
    <t>BIÊN ĐỘ TỐI ĐA</t>
  </si>
  <si>
    <t>VP26_08</t>
  </si>
  <si>
    <t>Kẹo Oishi 85 gram (80 gói/T)</t>
  </si>
  <si>
    <t>MÓN / NGÀY</t>
  </si>
  <si>
    <t>VP26_10</t>
  </si>
  <si>
    <t>VP26_09</t>
  </si>
  <si>
    <t>Bánh snack Oishi 5K (8 bịch/bao)</t>
  </si>
  <si>
    <t>Bánh Pillows Oishi 2K (10 bịch/T)</t>
  </si>
  <si>
    <t>Trạng thái</t>
  </si>
  <si>
    <t>VP26_11</t>
  </si>
  <si>
    <t>Bánh snack Oishi LỚN 10K (6 bịch/bao)</t>
  </si>
  <si>
    <t>VP26_13</t>
  </si>
  <si>
    <t>Bánh Chấm 330g PC (12 cái)</t>
  </si>
  <si>
    <t>VP26_12</t>
  </si>
  <si>
    <t>Thạch SUSO Tam Giác LỚN (62 cái)</t>
  </si>
  <si>
    <t>CHỈ TIÊU THEO NGÀY</t>
  </si>
  <si>
    <t>VP26_32</t>
  </si>
  <si>
    <t>Thạch miếng nhỏ Suso LƯỚI 800g (62 cái)</t>
  </si>
  <si>
    <t>Mã VTHH</t>
  </si>
  <si>
    <t>Tên VTHH</t>
  </si>
  <si>
    <t>ĐVT</t>
  </si>
  <si>
    <t>VP26_14</t>
  </si>
  <si>
    <t>Sôcôla Trân châu 130g PC</t>
  </si>
  <si>
    <t>Đơn giá</t>
  </si>
  <si>
    <t>Tồn trước bán</t>
  </si>
  <si>
    <t>SL bán</t>
  </si>
  <si>
    <t>Thành tiền</t>
  </si>
  <si>
    <t>Tồn sau bán</t>
  </si>
  <si>
    <t>Dòng nguồn</t>
  </si>
  <si>
    <t>Khóa đảo</t>
  </si>
  <si>
    <t>VP26_40</t>
  </si>
  <si>
    <t>Coke 300ml - Coca Chai Nhí 5K</t>
  </si>
  <si>
    <t>Chai</t>
  </si>
  <si>
    <t>VP26_15</t>
  </si>
  <si>
    <t>Bánh CreamO 85g - CÂY LỚN</t>
  </si>
  <si>
    <t>Cây</t>
  </si>
  <si>
    <t>VP26_16</t>
  </si>
  <si>
    <t>Snack URC loại 5K (8 bịch / bao)</t>
  </si>
  <si>
    <t>VP26_17</t>
  </si>
  <si>
    <t>Bánh bông lan tam giác nguyên chất vị dâu</t>
  </si>
  <si>
    <t>Chiếc</t>
  </si>
  <si>
    <t>VP26_41</t>
  </si>
  <si>
    <t>Đậu phộng Oishi 1K (20 dây/T)</t>
  </si>
  <si>
    <t>Dây</t>
  </si>
  <si>
    <t>VP26_18</t>
  </si>
  <si>
    <t>Bánh bông lan tam giác nguyên chất vị lá non lúa mạch</t>
  </si>
  <si>
    <t>VP26_43</t>
  </si>
  <si>
    <t>Thạch SUSO Cây Dài (24 cái)</t>
  </si>
  <si>
    <t>VP26_19</t>
  </si>
  <si>
    <t>Bánh bông lan tam giác nguyên chất vị socola</t>
  </si>
  <si>
    <t>VP26_45</t>
  </si>
  <si>
    <t>Mì Vàng Enaak 30g (24 gói/Hộp)</t>
  </si>
  <si>
    <t>VP26_20</t>
  </si>
  <si>
    <t>Bánh bông lan tam giác nguyên chất vị phô mai</t>
  </si>
  <si>
    <t>VP26_21</t>
  </si>
  <si>
    <t>Bánh mỳ bơ sữa cuộn nhiều lớp hiệu Gold 100 (2,5kg /carton)</t>
  </si>
  <si>
    <t>VP26_46</t>
  </si>
  <si>
    <t>Nước ÉP THẠCH Suso (48 ly)</t>
  </si>
  <si>
    <t>VP26_22</t>
  </si>
  <si>
    <t>Thạch rau câu Long Hải BS Canxi (500gr/túi x 12 túi/thùng)</t>
  </si>
  <si>
    <t>VP26_47</t>
  </si>
  <si>
    <t>Kẹo Cao Su Dinos 500g (69 viên)</t>
  </si>
  <si>
    <t>VP26_23</t>
  </si>
  <si>
    <t>Thạch Caramel Lapatie túi - 16g (400g/túi x 12 túi/thùng) - NT</t>
  </si>
  <si>
    <t>VP26_24</t>
  </si>
  <si>
    <t>Nước rau câu Đào (95gr/cốc x 100cốc/thùng) - NT</t>
  </si>
  <si>
    <t>Cốc</t>
  </si>
  <si>
    <t>VP26_49</t>
  </si>
  <si>
    <t>Bánh Mứt Dâu Xá 4kg PC</t>
  </si>
  <si>
    <t>VP26_25</t>
  </si>
  <si>
    <t>Nước rau câu Cam (95gr/cốc x 100cốc/thùng) - NT</t>
  </si>
  <si>
    <t>VP26_26</t>
  </si>
  <si>
    <t>Bánh mì toast ngàn lớp sữa bò (milk thousand layer toast)</t>
  </si>
  <si>
    <t>VP26_50</t>
  </si>
  <si>
    <t>Nước Túi Oishi (10 túi x 5 bịch / T)</t>
  </si>
  <si>
    <t>VP26_27</t>
  </si>
  <si>
    <t>Bánh vị sữa chua</t>
  </si>
  <si>
    <t>VP26_28</t>
  </si>
  <si>
    <t>Cà Phê Phố HỘP sữa đá (10 gói/Hộp)</t>
  </si>
  <si>
    <t>Hộp</t>
  </si>
  <si>
    <t>VP26_29</t>
  </si>
  <si>
    <t>Nui 5K Hoàng Thắng 50g (100 gói/T)</t>
  </si>
  <si>
    <t>VP26_30</t>
  </si>
  <si>
    <t>Nui 400g Hoàng Thắng (20 gói/T)</t>
  </si>
  <si>
    <t>VP26_31</t>
  </si>
  <si>
    <t>Rau Câu RỖ (800g x 12 túi)</t>
  </si>
  <si>
    <t>Rỗ</t>
  </si>
  <si>
    <t>VP26_33</t>
  </si>
  <si>
    <t>Thạch SUSO Tam Giác 330g Nhỏ (27 cái)</t>
  </si>
  <si>
    <t>VP26_34</t>
  </si>
  <si>
    <t>Bánh Phồng Tôm ĐẶC BIỆT 200g</t>
  </si>
  <si>
    <t>VP26_35</t>
  </si>
  <si>
    <t>Bánh Que Oishi Akiko 1K (10 bịch/T)</t>
  </si>
  <si>
    <t>VP26_36</t>
  </si>
  <si>
    <t>Trà Cúc 2 (ba đồng tiền)</t>
  </si>
  <si>
    <t>Lon</t>
  </si>
  <si>
    <t>VP26_37</t>
  </si>
  <si>
    <t>Bánh quy hộp THIẾC VUÔNG 400g</t>
  </si>
  <si>
    <t>VP26_38</t>
  </si>
  <si>
    <t>Coke 320ml - Coca Lon LỚN</t>
  </si>
  <si>
    <t>VP26_39</t>
  </si>
  <si>
    <t>Bánh XỐP Kem Cẩm Huê 5kg</t>
  </si>
  <si>
    <t>VP26_42</t>
  </si>
  <si>
    <t>Bánh tươi Karo (6 cái x 12 Túi / Thùng)</t>
  </si>
  <si>
    <t>VP26_44</t>
  </si>
  <si>
    <t>Bánh Pillows Oishi 5K (6 bịch/T)</t>
  </si>
  <si>
    <t>VP26_48</t>
  </si>
  <si>
    <t>Bánh Lương Khô MIX 1kg PC</t>
  </si>
  <si>
    <t>VP26_51</t>
  </si>
  <si>
    <t>Kẹo Mút Sữa Milkita - bịch 50 que</t>
  </si>
  <si>
    <t>Que</t>
  </si>
  <si>
    <t>VP26_52</t>
  </si>
  <si>
    <t>Rong Biển Thái - Norita (13 cái/gói)</t>
  </si>
  <si>
    <t>VP26_53</t>
  </si>
  <si>
    <t>Bánh Gạo rang Oishi (20 gói/T)</t>
  </si>
  <si>
    <t>VP26_54</t>
  </si>
  <si>
    <t>Bánh XỐP Tứ Quý ĐỨC HƯNG 4kg</t>
  </si>
  <si>
    <t>VP26_55</t>
  </si>
  <si>
    <t>Bánh Khoai Tây MP xá 4kg</t>
  </si>
  <si>
    <t>VP26_56</t>
  </si>
  <si>
    <t>Kẹo Xốp nhân Oishi (12 gói/T)</t>
  </si>
  <si>
    <t>VP26_57</t>
  </si>
  <si>
    <t>Mi Snack Enaak Huong BBQ Xong Khoi 28gx120goi</t>
  </si>
  <si>
    <t>VP26_58</t>
  </si>
  <si>
    <t>TỔNG BÁN THÁNG</t>
  </si>
  <si>
    <t>Mi snack Enaak huong ga 30gr</t>
  </si>
  <si>
    <t>VP26_59</t>
  </si>
  <si>
    <t>Bánh bông lan tam giác hương chuối</t>
  </si>
  <si>
    <t>Tổng số chủng loại bán</t>
  </si>
  <si>
    <t>VP26_60</t>
  </si>
  <si>
    <t>Bánh tart trứng vị chà bông thịt nướng</t>
  </si>
  <si>
    <t>VP26_61</t>
  </si>
  <si>
    <t>Bánh mì xé tay hình đĩa nhạc</t>
  </si>
  <si>
    <t>VP26_62</t>
  </si>
  <si>
    <t>Thạch rau câu Long Hải BS Canxi (500gr/túi x 12 túi/thùng) - NT</t>
  </si>
  <si>
    <t>Gram</t>
  </si>
  <si>
    <t>VP26_63</t>
  </si>
  <si>
    <t>Bánh mỳ chà bông phô mai (nhãn hiệu LexJazz), 100g x 36pack/carton</t>
  </si>
  <si>
    <t>VP26_64</t>
  </si>
  <si>
    <t>Kẹo Nhai 3 Viên 112,5g</t>
  </si>
  <si>
    <t>VP26_65</t>
  </si>
  <si>
    <t>Kẹo Nhai 3 Viên XÁ - 1 KG</t>
  </si>
  <si>
    <t>VP26_66</t>
  </si>
  <si>
    <t>Bánh Mì Tươi Sandwich Bơ Đậu Phộng</t>
  </si>
  <si>
    <t>VP26_67</t>
  </si>
  <si>
    <t>DOOWEE DONUT HỖN HỢP 29Gx12x10</t>
  </si>
  <si>
    <t>Tổng số lượng bán</t>
  </si>
  <si>
    <t>Tổng tiền bán</t>
  </si>
  <si>
    <t>CHI TIẾT SẢN LƯỢNG BÁN HÀNG NGÀY</t>
  </si>
  <si>
    <t>MÃ VTHH</t>
  </si>
  <si>
    <t>TÊN VTHH</t>
  </si>
  <si>
    <t>ĐƠN GIÁ</t>
  </si>
  <si>
    <t>TỒN GỐC</t>
  </si>
  <si>
    <t>TỔNG SL BÁN</t>
  </si>
  <si>
    <t>TỒN CUỐI</t>
  </si>
  <si>
    <t>CHI TIẾT SỐ LƯỢNG BÁN THEO NGÀY</t>
  </si>
  <si>
    <t>MÓN/    NGÀY</t>
  </si>
  <si>
    <t>SỐ LOẠI BÁN</t>
  </si>
  <si>
    <t>TỔNG TIỀN BÁN</t>
  </si>
  <si>
    <t>MÃ</t>
  </si>
  <si>
    <t>SL NỀN</t>
  </si>
  <si>
    <t>SL CỘNG</t>
  </si>
  <si>
    <t>SL THÁNG</t>
  </si>
  <si>
    <t>LỆCH NGÀY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</si>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</sst>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;\-#,##0;0"/>
    <numFmt numFmtId="166" formatCode="dd/m;;0"/>
    <numFmt numFmtId="167" formatCode="0;\-0;;"/>
  </numFmts>
  <fonts count="26" x14ac:knownFonts="1">
    <font>
      <sz val="11"/>
      <color rgb="FF000000"/>
      <name val="Calibri"/>
      <scheme val="minor"/>
    </font>
    <font>
      <sz val="11"/>
      <color rgb="FF000000"/>
      <name val="Times New Roman"/>
    </font>
    <font>
      <b/>
      <sz val="15"/>
      <color rgb="FFFFFFFF"/>
      <name val="Calibri"/>
    </font>
    <font>
      <sz val="11"/>
      <name val="Calibri"/>
    </font>
    <font>
      <b/>
      <sz val="16"/>
      <color rgb="FFFFFFFF"/>
      <name val="Calibri"/>
    </font>
    <font>
      <sz val="11"/>
      <color rgb="FF1F1F1F"/>
      <name val="Calibri"/>
    </font>
    <font>
      <b/>
      <sz val="11"/>
      <color rgb="FF000000"/>
      <name val="Times New Roman"/>
    </font>
    <font>
      <b/>
      <sz val="11"/>
      <color rgb="FF1F1F1F"/>
      <name val="Calibri"/>
    </font>
    <font>
      <b/>
      <sz val="18"/>
      <color rgb="FF000000"/>
      <name val="Times New Roman"/>
    </font>
    <font>
      <sz val="11"/>
      <color rgb="FF000000"/>
      <name val="Calibri"/>
    </font>
    <font>
      <b/>
      <sz val="13"/>
      <color rgb="FFC00000"/>
      <name val="Calibri"/>
    </font>
    <font>
      <b/>
      <sz val="10"/>
      <color rgb="FF000000"/>
      <name val="Times New Roman"/>
    </font>
    <font>
      <b/>
      <sz val="11"/>
      <color rgb="FFFFFFFF"/>
      <name val="Times New Roman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Times New Roman"/>
    </font>
    <font>
      <b/>
      <sz val="11"/>
      <color theme="1"/>
      <name val="Times New Roman"/>
    </font>
    <font>
      <b/>
      <sz val="14"/>
      <color rgb="FFFFFFFF"/>
      <name val="Calibri"/>
    </font>
    <font>
      <b/>
      <sz val="11"/>
      <color rgb="FF1F1F1F"/>
      <name val="Times New Roman"/>
    </font>
    <font>
      <b/>
      <sz val="9"/>
      <color rgb="FF1F1F1F"/>
      <name val="Times New Roman"/>
    </font>
    <font>
      <b/>
      <sz val="9"/>
      <color rgb="FF1F1F1F"/>
      <name val="Calibri"/>
    </font>
    <font>
      <b/>
      <sz val="12"/>
      <color rgb="FF1F1F1F"/>
      <name val="Times New Roman"/>
    </font>
    <font>
      <sz val="12"/>
      <color rgb="FF000000"/>
      <name val="Times New Roman"/>
    </font>
    <font>
      <b/>
      <sz val="12"/>
      <color rgb="FFFFFFFF"/>
      <name val="Times New Roman"/>
    </font>
    <font>
      <b/>
      <sz val="12"/>
      <color rgb="FF000000"/>
      <name val="Times New Roman"/>
    </font>
    <font>
      <b/>
      <sz val="8"/>
      <color rgb="FF1F1F1F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rgb="FF99C1E5"/>
        <bgColor rgb="FF99C1E5"/>
      </patternFill>
    </fill>
    <fill>
      <patternFill patternType="solid">
        <fgColor rgb="FF1F4E78"/>
        <bgColor rgb="FF1F4E78"/>
      </patternFill>
    </fill>
    <fill>
      <patternFill patternType="solid">
        <fgColor rgb="FFF8CAAC"/>
        <bgColor rgb="FFF8CAAC"/>
      </patternFill>
    </fill>
    <fill>
      <patternFill patternType="solid">
        <fgColor rgb="FFBF8E00"/>
        <bgColor rgb="FFBF8E00"/>
      </patternFill>
    </fill>
    <fill>
      <patternFill patternType="solid">
        <fgColor rgb="FFC7C9C9"/>
        <bgColor rgb="FFC7C9C9"/>
      </patternFill>
    </fill>
    <fill>
      <patternFill patternType="solid">
        <fgColor rgb="FFC5E0B3"/>
        <bgColor rgb="FFC5E0B3"/>
      </patternFill>
    </fill>
    <fill>
      <patternFill patternType="solid">
        <fgColor rgb="FFA8D08E"/>
        <bgColor rgb="FFA8D08E"/>
      </patternFill>
    </fill>
    <fill>
      <patternFill patternType="solid">
        <fgColor rgb="FFD9EAF7"/>
        <bgColor rgb="FFD9EAF7"/>
      </patternFill>
    </fill>
    <fill>
      <patternFill patternType="solid">
        <fgColor rgb="FFED7D31"/>
        <bgColor rgb="FFED7D31"/>
      </patternFill>
    </fill>
    <fill>
      <patternFill patternType="solid">
        <fgColor rgb="FFEAF2F8"/>
        <bgColor rgb="FFEAF2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2F0D9"/>
        <bgColor rgb="FFE2F0D9"/>
      </patternFill>
    </fill>
    <fill>
      <patternFill patternType="solid">
        <fgColor rgb="FF2F5496"/>
        <bgColor rgb="FF2F5496"/>
      </patternFill>
    </fill>
    <fill>
      <patternFill patternType="solid">
        <fgColor rgb="FF203864"/>
        <bgColor rgb="FF203864"/>
      </patternFill>
    </fill>
    <fill>
      <patternFill patternType="solid">
        <fgColor rgb="FFD9EAD3"/>
        <bgColor rgb="FFD9EAD3"/>
      </patternFill>
    </fill>
    <fill>
      <patternFill patternType="solid">
        <fgColor rgb="FF70AD47"/>
        <bgColor rgb="FF70AD47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E2F3"/>
      </left>
      <right style="thin">
        <color rgb="FFD9E2F3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wrapText="1"/>
    </xf>
    <xf numFmtId="3" fontId="1" fillId="7" borderId="1" xfId="0" applyNumberFormat="1" applyFont="1" applyFill="1" applyBorder="1" applyAlignment="1">
      <alignment vertical="center" wrapText="1"/>
    </xf>
    <xf numFmtId="0" fontId="1" fillId="10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/>
    </xf>
    <xf numFmtId="0" fontId="6" fillId="9" borderId="5" xfId="0" applyFont="1" applyFill="1" applyBorder="1" applyAlignment="1">
      <alignment horizontal="center" vertical="center" wrapText="1"/>
    </xf>
    <xf numFmtId="0" fontId="7" fillId="11" borderId="6" xfId="0" applyFont="1" applyFill="1" applyBorder="1"/>
    <xf numFmtId="0" fontId="1" fillId="0" borderId="0" xfId="0" applyFont="1" applyAlignment="1">
      <alignment wrapText="1"/>
    </xf>
    <xf numFmtId="3" fontId="8" fillId="12" borderId="1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Alignment="1">
      <alignment wrapText="1"/>
    </xf>
    <xf numFmtId="3" fontId="9" fillId="0" borderId="0" xfId="0" applyNumberFormat="1" applyFont="1" applyAlignment="1">
      <alignment wrapText="1"/>
    </xf>
    <xf numFmtId="3" fontId="10" fillId="13" borderId="6" xfId="0" applyNumberFormat="1" applyFont="1" applyFill="1" applyBorder="1"/>
    <xf numFmtId="3" fontId="1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" fillId="7" borderId="1" xfId="0" applyFont="1" applyFill="1" applyBorder="1" applyAlignment="1">
      <alignment wrapText="1"/>
    </xf>
    <xf numFmtId="164" fontId="11" fillId="9" borderId="5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wrapText="1"/>
    </xf>
    <xf numFmtId="164" fontId="6" fillId="0" borderId="9" xfId="0" applyNumberFormat="1" applyFont="1" applyBorder="1" applyAlignment="1">
      <alignment vertical="center" wrapText="1"/>
    </xf>
    <xf numFmtId="0" fontId="1" fillId="7" borderId="1" xfId="0" applyFont="1" applyFill="1" applyBorder="1"/>
    <xf numFmtId="0" fontId="9" fillId="0" borderId="0" xfId="0" applyFont="1"/>
    <xf numFmtId="3" fontId="7" fillId="11" borderId="6" xfId="0" applyNumberFormat="1" applyFont="1" applyFill="1" applyBorder="1"/>
    <xf numFmtId="3" fontId="1" fillId="0" borderId="1" xfId="0" applyNumberFormat="1" applyFont="1" applyBorder="1" applyAlignment="1">
      <alignment wrapText="1"/>
    </xf>
    <xf numFmtId="164" fontId="7" fillId="11" borderId="6" xfId="0" applyNumberFormat="1" applyFont="1" applyFill="1" applyBorder="1"/>
    <xf numFmtId="0" fontId="6" fillId="0" borderId="9" xfId="0" applyFont="1" applyBorder="1" applyAlignment="1">
      <alignment vertical="center" wrapText="1"/>
    </xf>
    <xf numFmtId="0" fontId="13" fillId="14" borderId="6" xfId="0" applyFont="1" applyFill="1" applyBorder="1" applyAlignment="1">
      <alignment horizontal="center" wrapText="1"/>
    </xf>
    <xf numFmtId="0" fontId="14" fillId="0" borderId="0" xfId="0" applyFont="1"/>
    <xf numFmtId="166" fontId="12" fillId="1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9" fillId="0" borderId="0" xfId="0" applyFont="1" applyAlignment="1">
      <alignment wrapText="1"/>
    </xf>
    <xf numFmtId="3" fontId="9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center" vertical="center"/>
    </xf>
    <xf numFmtId="3" fontId="1" fillId="15" borderId="1" xfId="0" applyNumberFormat="1" applyFont="1" applyFill="1" applyBorder="1"/>
    <xf numFmtId="3" fontId="16" fillId="0" borderId="1" xfId="0" applyNumberFormat="1" applyFont="1" applyBorder="1" applyAlignment="1">
      <alignment horizontal="center" vertical="center"/>
    </xf>
    <xf numFmtId="3" fontId="6" fillId="15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12" fillId="16" borderId="16" xfId="0" applyFont="1" applyFill="1" applyBorder="1" applyAlignment="1">
      <alignment horizontal="center" vertical="center" wrapText="1"/>
    </xf>
    <xf numFmtId="0" fontId="12" fillId="16" borderId="16" xfId="0" applyFont="1" applyFill="1" applyBorder="1" applyAlignment="1">
      <alignment horizontal="center" vertical="center"/>
    </xf>
    <xf numFmtId="166" fontId="12" fillId="16" borderId="16" xfId="0" applyNumberFormat="1" applyFont="1" applyFill="1" applyBorder="1" applyAlignment="1">
      <alignment horizontal="center" vertical="center"/>
    </xf>
    <xf numFmtId="166" fontId="12" fillId="16" borderId="16" xfId="0" applyNumberFormat="1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3" fontId="18" fillId="9" borderId="1" xfId="0" applyNumberFormat="1" applyFont="1" applyFill="1" applyBorder="1" applyAlignment="1">
      <alignment horizontal="center" vertical="center"/>
    </xf>
    <xf numFmtId="3" fontId="18" fillId="9" borderId="1" xfId="0" applyNumberFormat="1" applyFont="1" applyFill="1" applyBorder="1" applyAlignment="1">
      <alignment horizontal="center" vertical="center" wrapText="1"/>
    </xf>
    <xf numFmtId="9" fontId="18" fillId="13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/>
    </xf>
    <xf numFmtId="3" fontId="20" fillId="9" borderId="1" xfId="0" applyNumberFormat="1" applyFont="1" applyFill="1" applyBorder="1" applyAlignment="1">
      <alignment horizontal="center" vertical="center"/>
    </xf>
    <xf numFmtId="3" fontId="19" fillId="9" borderId="1" xfId="0" applyNumberFormat="1" applyFont="1" applyFill="1" applyBorder="1" applyAlignment="1">
      <alignment horizontal="center" vertical="center"/>
    </xf>
    <xf numFmtId="3" fontId="20" fillId="9" borderId="1" xfId="0" applyNumberFormat="1" applyFont="1" applyFill="1" applyBorder="1" applyAlignment="1">
      <alignment horizontal="center" vertical="center" wrapText="1"/>
    </xf>
    <xf numFmtId="0" fontId="12" fillId="17" borderId="21" xfId="0" applyFont="1" applyFill="1" applyBorder="1" applyAlignment="1">
      <alignment horizontal="center" vertical="center" wrapText="1"/>
    </xf>
    <xf numFmtId="0" fontId="12" fillId="17" borderId="22" xfId="0" applyFont="1" applyFill="1" applyBorder="1" applyAlignment="1">
      <alignment horizontal="center" vertical="center"/>
    </xf>
    <xf numFmtId="0" fontId="12" fillId="17" borderId="22" xfId="0" applyFont="1" applyFill="1" applyBorder="1" applyAlignment="1">
      <alignment horizontal="center" vertical="center" wrapText="1"/>
    </xf>
    <xf numFmtId="0" fontId="12" fillId="17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2" fillId="0" borderId="1" xfId="0" applyFont="1" applyBorder="1"/>
    <xf numFmtId="0" fontId="22" fillId="0" borderId="1" xfId="0" applyFont="1" applyBorder="1" applyAlignment="1">
      <alignment wrapText="1"/>
    </xf>
    <xf numFmtId="3" fontId="22" fillId="0" borderId="1" xfId="0" applyNumberFormat="1" applyFont="1" applyBorder="1"/>
    <xf numFmtId="3" fontId="1" fillId="0" borderId="0" xfId="0" applyNumberFormat="1" applyFont="1" applyAlignment="1">
      <alignment horizontal="right" vertical="center"/>
    </xf>
    <xf numFmtId="167" fontId="22" fillId="0" borderId="1" xfId="0" applyNumberFormat="1" applyFont="1" applyBorder="1" applyAlignment="1">
      <alignment horizontal="center"/>
    </xf>
    <xf numFmtId="1" fontId="22" fillId="0" borderId="1" xfId="0" applyNumberFormat="1" applyFont="1" applyBorder="1"/>
    <xf numFmtId="3" fontId="9" fillId="0" borderId="1" xfId="0" applyNumberFormat="1" applyFont="1" applyBorder="1"/>
    <xf numFmtId="0" fontId="9" fillId="0" borderId="1" xfId="0" applyFont="1" applyBorder="1"/>
    <xf numFmtId="0" fontId="1" fillId="0" borderId="0" xfId="0" applyFont="1" applyAlignment="1">
      <alignment horizontal="center" vertical="center"/>
    </xf>
    <xf numFmtId="1" fontId="23" fillId="0" borderId="7" xfId="0" applyNumberFormat="1" applyFont="1" applyBorder="1" applyAlignment="1">
      <alignment horizontal="center" wrapText="1"/>
    </xf>
    <xf numFmtId="1" fontId="23" fillId="0" borderId="8" xfId="0" applyNumberFormat="1" applyFont="1" applyBorder="1" applyAlignment="1">
      <alignment horizontal="center" wrapText="1"/>
    </xf>
    <xf numFmtId="1" fontId="24" fillId="18" borderId="1" xfId="0" applyNumberFormat="1" applyFont="1" applyFill="1" applyBorder="1"/>
    <xf numFmtId="3" fontId="25" fillId="15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9" borderId="2" xfId="0" applyFont="1" applyFill="1" applyBorder="1" applyAlignment="1">
      <alignment wrapText="1"/>
    </xf>
    <xf numFmtId="0" fontId="7" fillId="11" borderId="2" xfId="0" applyFont="1" applyFill="1" applyBorder="1"/>
    <xf numFmtId="0" fontId="12" fillId="14" borderId="7" xfId="0" applyFont="1" applyFill="1" applyBorder="1"/>
    <xf numFmtId="0" fontId="3" fillId="0" borderId="10" xfId="0" applyFont="1" applyBorder="1"/>
    <xf numFmtId="0" fontId="12" fillId="14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9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15" borderId="7" xfId="0" applyFont="1" applyFill="1" applyBorder="1"/>
    <xf numFmtId="3" fontId="6" fillId="0" borderId="7" xfId="0" applyNumberFormat="1" applyFont="1" applyBorder="1" applyAlignment="1">
      <alignment horizontal="center" vertical="center"/>
    </xf>
    <xf numFmtId="0" fontId="3" fillId="0" borderId="8" xfId="0" applyFont="1" applyBorder="1"/>
    <xf numFmtId="0" fontId="4" fillId="3" borderId="2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center" vertical="center" wrapText="1"/>
    </xf>
    <xf numFmtId="3" fontId="6" fillId="12" borderId="7" xfId="0" applyNumberFormat="1" applyFont="1" applyFill="1" applyBorder="1" applyAlignment="1">
      <alignment horizontal="center" vertical="center" wrapText="1"/>
    </xf>
    <xf numFmtId="9" fontId="6" fillId="12" borderId="7" xfId="0" applyNumberFormat="1" applyFont="1" applyFill="1" applyBorder="1" applyAlignment="1">
      <alignment horizontal="center" vertical="center" wrapText="1"/>
    </xf>
    <xf numFmtId="0" fontId="24" fillId="18" borderId="7" xfId="0" applyFont="1" applyFill="1" applyBorder="1"/>
    <xf numFmtId="0" fontId="3" fillId="0" borderId="20" xfId="0" applyFont="1" applyBorder="1"/>
    <xf numFmtId="1" fontId="24" fillId="18" borderId="7" xfId="0" applyNumberFormat="1" applyFont="1" applyFill="1" applyBorder="1" applyAlignment="1">
      <alignment horizontal="center"/>
    </xf>
    <xf numFmtId="0" fontId="23" fillId="19" borderId="7" xfId="0" applyFont="1" applyFill="1" applyBorder="1"/>
    <xf numFmtId="3" fontId="21" fillId="15" borderId="7" xfId="0" applyNumberFormat="1" applyFont="1" applyFill="1" applyBorder="1" applyAlignment="1">
      <alignment horizontal="center"/>
    </xf>
    <xf numFmtId="0" fontId="17" fillId="3" borderId="17" xfId="0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21" fillId="12" borderId="7" xfId="0" applyFont="1" applyFill="1" applyBorder="1" applyAlignment="1">
      <alignment horizontal="center" vertical="center" wrapText="1"/>
    </xf>
    <xf numFmtId="3" fontId="21" fillId="12" borderId="7" xfId="0" applyNumberFormat="1" applyFont="1" applyFill="1" applyBorder="1" applyAlignment="1">
      <alignment horizontal="center" vertical="center"/>
    </xf>
    <xf numFmtId="3" fontId="21" fillId="12" borderId="7" xfId="0" applyNumberFormat="1" applyFont="1" applyFill="1" applyBorder="1" applyAlignment="1">
      <alignment horizontal="center" vertical="center" wrapText="1"/>
    </xf>
    <xf numFmtId="2" fontId="18" fillId="13" borderId="1" xfId="0" applyNumberFormat="1" applyFont="1" applyFill="1" applyBorder="1" applyAlignment="1">
      <alignment horizontal="center" vertical="center"/>
    </xf>
    <xf numFmtId="1" fontId="12" fillId="17" borderId="22" xfId="0" applyNumberFormat="1" applyFont="1" applyFill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 wrapText="1"/>
    </xf>
    <xf numFmtId="1" fontId="12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B7B7B7"/>
      </font>
      <fill>
        <patternFill patternType="none"/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30.42578125" customWidth="1"/>
    <col min="2" max="2" width="67.42578125" customWidth="1"/>
    <col min="3" max="3" width="10.42578125" customWidth="1"/>
    <col min="4" max="4" width="23.42578125" customWidth="1"/>
    <col min="5" max="5" width="16.42578125" customWidth="1"/>
    <col min="6" max="8" width="10.42578125" customWidth="1"/>
    <col min="9" max="9" width="12.42578125" customWidth="1"/>
    <col min="10" max="10" width="13.42578125" customWidth="1"/>
    <col min="11" max="11" width="16.42578125" customWidth="1"/>
    <col min="12" max="12" width="18.42578125" customWidth="1"/>
    <col min="13" max="14" width="12.42578125" customWidth="1"/>
    <col min="15" max="15" width="15.42578125" customWidth="1"/>
    <col min="16" max="16" width="17.42578125" customWidth="1"/>
    <col min="17" max="17" width="10.42578125" customWidth="1"/>
    <col min="18" max="18" width="36.42578125" customWidth="1"/>
    <col min="19" max="21" width="30.42578125" customWidth="1"/>
    <col min="22" max="22" width="25.42578125" customWidth="1"/>
    <col min="23" max="23" width="34.42578125" customWidth="1"/>
    <col min="24" max="24" width="31.42578125" customWidth="1"/>
    <col min="25" max="25" width="30.42578125" customWidth="1"/>
    <col min="26" max="26" width="33.42578125" customWidth="1"/>
  </cols>
  <sheetData>
    <row r="1" spans="1:26" x14ac:dyDescent="0.25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3" t="s">
        <v>8</v>
      </c>
      <c r="G1" s="3" t="s">
        <v>9</v>
      </c>
      <c r="H1" s="3" t="s">
        <v>10</v>
      </c>
      <c r="I1" s="5" t="s">
        <v>12</v>
      </c>
      <c r="J1" s="5" t="s">
        <v>13</v>
      </c>
      <c r="K1" s="5" t="s">
        <v>14</v>
      </c>
      <c r="L1" s="5" t="s">
        <v>15</v>
      </c>
      <c r="M1" s="7" t="s">
        <v>16</v>
      </c>
      <c r="N1" s="7" t="s">
        <v>19</v>
      </c>
      <c r="O1" s="9" t="s">
        <v>20</v>
      </c>
      <c r="P1" s="9" t="s">
        <v>22</v>
      </c>
      <c r="Q1" s="9" t="s">
        <v>23</v>
      </c>
      <c r="R1" s="9" t="s">
        <v>24</v>
      </c>
      <c r="S1" s="9" t="s">
        <v>25</v>
      </c>
      <c r="T1" s="9" t="s">
        <v>26</v>
      </c>
      <c r="U1" s="9" t="s">
        <v>27</v>
      </c>
      <c r="V1" s="11" t="s">
        <v>28</v>
      </c>
      <c r="W1" s="11" t="s">
        <v>30</v>
      </c>
      <c r="X1" s="11" t="s">
        <v>32</v>
      </c>
      <c r="Y1" s="11" t="s">
        <v>33</v>
      </c>
      <c r="Z1" s="11" t="s">
        <v>34</v>
      </c>
    </row>
    <row r="2" spans="1:26" x14ac:dyDescent="0.25">
      <c r="A2" s="15" t="s">
        <v>17</v>
      </c>
      <c r="B2" s="15" t="s">
        <v>17</v>
      </c>
      <c r="C2" s="15" t="s">
        <v>21</v>
      </c>
      <c r="D2" s="17">
        <v>0</v>
      </c>
      <c r="E2" s="18">
        <v>58850</v>
      </c>
      <c r="F2" s="15" t="s">
        <v>36</v>
      </c>
      <c r="G2" s="15" t="s">
        <v>36</v>
      </c>
      <c r="H2" s="15" t="s">
        <v>36</v>
      </c>
      <c r="I2" s="15" t="s">
        <v>36</v>
      </c>
      <c r="J2" s="15" t="s">
        <v>36</v>
      </c>
      <c r="K2" s="15" t="s">
        <v>36</v>
      </c>
      <c r="L2" s="15" t="s">
        <v>36</v>
      </c>
      <c r="M2" s="15" t="s">
        <v>36</v>
      </c>
      <c r="N2" s="15" t="s">
        <v>36</v>
      </c>
      <c r="O2" s="15" t="s">
        <v>37</v>
      </c>
      <c r="P2" s="18">
        <v>4</v>
      </c>
      <c r="Q2" s="15" t="s">
        <v>38</v>
      </c>
      <c r="R2" s="18">
        <v>235400</v>
      </c>
      <c r="S2" s="18">
        <v>0</v>
      </c>
      <c r="T2" s="18">
        <v>0</v>
      </c>
      <c r="U2" s="18">
        <v>0</v>
      </c>
      <c r="V2" s="15" t="s">
        <v>36</v>
      </c>
      <c r="W2" s="15" t="s">
        <v>36</v>
      </c>
      <c r="X2" s="15" t="s">
        <v>36</v>
      </c>
      <c r="Y2" s="15" t="s">
        <v>36</v>
      </c>
      <c r="Z2" s="15" t="s">
        <v>36</v>
      </c>
    </row>
    <row r="3" spans="1:26" x14ac:dyDescent="0.25">
      <c r="A3" s="15" t="s">
        <v>39</v>
      </c>
      <c r="B3" s="15" t="s">
        <v>39</v>
      </c>
      <c r="C3" s="15" t="s">
        <v>40</v>
      </c>
      <c r="D3" s="17">
        <v>0</v>
      </c>
      <c r="E3" s="18">
        <v>91300</v>
      </c>
      <c r="F3" s="15" t="s">
        <v>36</v>
      </c>
      <c r="G3" s="15" t="s">
        <v>36</v>
      </c>
      <c r="H3" s="15" t="s">
        <v>36</v>
      </c>
      <c r="I3" s="15" t="s">
        <v>36</v>
      </c>
      <c r="J3" s="15" t="s">
        <v>36</v>
      </c>
      <c r="K3" s="15" t="s">
        <v>36</v>
      </c>
      <c r="L3" s="15" t="s">
        <v>36</v>
      </c>
      <c r="M3" s="15" t="s">
        <v>36</v>
      </c>
      <c r="N3" s="15" t="s">
        <v>36</v>
      </c>
      <c r="O3" s="15" t="s">
        <v>36</v>
      </c>
      <c r="P3" s="15" t="s">
        <v>36</v>
      </c>
      <c r="Q3" s="15" t="s">
        <v>36</v>
      </c>
      <c r="R3" s="15" t="s">
        <v>36</v>
      </c>
      <c r="S3" s="15" t="s">
        <v>36</v>
      </c>
      <c r="T3" s="15" t="s">
        <v>36</v>
      </c>
      <c r="U3" s="15" t="s">
        <v>36</v>
      </c>
      <c r="V3" s="15" t="s">
        <v>36</v>
      </c>
      <c r="W3" s="15" t="s">
        <v>36</v>
      </c>
      <c r="X3" s="15" t="s">
        <v>36</v>
      </c>
      <c r="Y3" s="15" t="s">
        <v>36</v>
      </c>
      <c r="Z3" s="15" t="s">
        <v>36</v>
      </c>
    </row>
    <row r="4" spans="1:26" x14ac:dyDescent="0.25">
      <c r="A4" s="15" t="s">
        <v>41</v>
      </c>
      <c r="B4" s="15" t="s">
        <v>42</v>
      </c>
      <c r="C4" s="15" t="s">
        <v>43</v>
      </c>
      <c r="D4" s="17">
        <v>0</v>
      </c>
      <c r="E4" s="18">
        <v>28160.007099999999</v>
      </c>
      <c r="F4" s="15" t="s">
        <v>36</v>
      </c>
      <c r="G4" s="15" t="s">
        <v>36</v>
      </c>
      <c r="H4" s="15" t="s">
        <v>36</v>
      </c>
      <c r="I4" s="15" t="s">
        <v>36</v>
      </c>
      <c r="J4" s="15" t="s">
        <v>36</v>
      </c>
      <c r="K4" s="15" t="s">
        <v>36</v>
      </c>
      <c r="L4" s="15" t="s">
        <v>36</v>
      </c>
      <c r="M4" s="15" t="s">
        <v>36</v>
      </c>
      <c r="N4" s="15" t="s">
        <v>36</v>
      </c>
      <c r="O4" s="15" t="s">
        <v>37</v>
      </c>
      <c r="P4" s="18">
        <v>5</v>
      </c>
      <c r="Q4" s="15" t="s">
        <v>38</v>
      </c>
      <c r="R4" s="18">
        <v>140800.03570000001</v>
      </c>
      <c r="S4" s="18">
        <v>0</v>
      </c>
      <c r="T4" s="18">
        <v>0</v>
      </c>
      <c r="U4" s="18">
        <v>0</v>
      </c>
      <c r="V4" s="15" t="s">
        <v>36</v>
      </c>
      <c r="W4" s="15" t="s">
        <v>36</v>
      </c>
      <c r="X4" s="15" t="s">
        <v>36</v>
      </c>
      <c r="Y4" s="15" t="s">
        <v>36</v>
      </c>
      <c r="Z4" s="15" t="s">
        <v>36</v>
      </c>
    </row>
    <row r="5" spans="1:26" x14ac:dyDescent="0.25">
      <c r="A5" s="15" t="s">
        <v>46</v>
      </c>
      <c r="B5" s="15" t="s">
        <v>47</v>
      </c>
      <c r="C5" s="15" t="s">
        <v>43</v>
      </c>
      <c r="D5" s="17">
        <v>0</v>
      </c>
      <c r="E5" s="18">
        <v>15248.077499999999</v>
      </c>
      <c r="F5" s="15" t="s">
        <v>36</v>
      </c>
      <c r="G5" s="15" t="s">
        <v>36</v>
      </c>
      <c r="H5" s="15" t="s">
        <v>36</v>
      </c>
      <c r="I5" s="15" t="s">
        <v>36</v>
      </c>
      <c r="J5" s="15" t="s">
        <v>36</v>
      </c>
      <c r="K5" s="15" t="s">
        <v>36</v>
      </c>
      <c r="L5" s="15" t="s">
        <v>36</v>
      </c>
      <c r="M5" s="15" t="s">
        <v>36</v>
      </c>
      <c r="N5" s="15" t="s">
        <v>36</v>
      </c>
      <c r="O5" s="15" t="s">
        <v>48</v>
      </c>
      <c r="P5" s="18">
        <v>10</v>
      </c>
      <c r="Q5" s="15" t="s">
        <v>38</v>
      </c>
      <c r="R5" s="18">
        <v>152480.77489999999</v>
      </c>
      <c r="S5" s="18">
        <v>0</v>
      </c>
      <c r="T5" s="18">
        <v>0</v>
      </c>
      <c r="U5" s="18">
        <v>0</v>
      </c>
      <c r="V5" s="15" t="s">
        <v>36</v>
      </c>
      <c r="W5" s="15" t="s">
        <v>36</v>
      </c>
      <c r="X5" s="15" t="s">
        <v>36</v>
      </c>
      <c r="Y5" s="15" t="s">
        <v>36</v>
      </c>
      <c r="Z5" s="15" t="s">
        <v>36</v>
      </c>
    </row>
    <row r="6" spans="1:26" x14ac:dyDescent="0.25">
      <c r="A6" s="15" t="s">
        <v>49</v>
      </c>
      <c r="B6" s="15" t="s">
        <v>50</v>
      </c>
      <c r="C6" s="15" t="s">
        <v>51</v>
      </c>
      <c r="D6" s="17">
        <v>0</v>
      </c>
      <c r="E6" s="18">
        <v>3941.6687999999999</v>
      </c>
      <c r="F6" s="15" t="s">
        <v>36</v>
      </c>
      <c r="G6" s="15" t="s">
        <v>36</v>
      </c>
      <c r="H6" s="15" t="s">
        <v>36</v>
      </c>
      <c r="I6" s="15" t="s">
        <v>36</v>
      </c>
      <c r="J6" s="15" t="s">
        <v>36</v>
      </c>
      <c r="K6" s="15" t="s">
        <v>36</v>
      </c>
      <c r="L6" s="15" t="s">
        <v>36</v>
      </c>
      <c r="M6" s="15" t="s">
        <v>36</v>
      </c>
      <c r="N6" s="15" t="s">
        <v>36</v>
      </c>
      <c r="O6" s="15" t="s">
        <v>37</v>
      </c>
      <c r="P6" s="18">
        <v>48</v>
      </c>
      <c r="Q6" s="15" t="s">
        <v>38</v>
      </c>
      <c r="R6" s="18">
        <v>189200.10190000001</v>
      </c>
      <c r="S6" s="18">
        <v>0</v>
      </c>
      <c r="T6" s="18">
        <v>0</v>
      </c>
      <c r="U6" s="18">
        <v>0</v>
      </c>
      <c r="V6" s="15" t="s">
        <v>36</v>
      </c>
      <c r="W6" s="15" t="s">
        <v>36</v>
      </c>
      <c r="X6" s="15" t="s">
        <v>36</v>
      </c>
      <c r="Y6" s="15" t="s">
        <v>36</v>
      </c>
      <c r="Z6" s="15" t="s">
        <v>36</v>
      </c>
    </row>
    <row r="7" spans="1:26" x14ac:dyDescent="0.25">
      <c r="A7" s="15" t="s">
        <v>52</v>
      </c>
      <c r="B7" s="15" t="s">
        <v>53</v>
      </c>
      <c r="C7" s="15" t="s">
        <v>54</v>
      </c>
      <c r="D7" s="17">
        <v>0</v>
      </c>
      <c r="E7" s="18">
        <v>585.48379999999997</v>
      </c>
      <c r="F7" s="15" t="s">
        <v>36</v>
      </c>
      <c r="G7" s="15" t="s">
        <v>36</v>
      </c>
      <c r="H7" s="15" t="s">
        <v>36</v>
      </c>
      <c r="I7" s="15" t="s">
        <v>36</v>
      </c>
      <c r="J7" s="15" t="s">
        <v>36</v>
      </c>
      <c r="K7" s="15" t="s">
        <v>36</v>
      </c>
      <c r="L7" s="15" t="s">
        <v>36</v>
      </c>
      <c r="M7" s="15" t="s">
        <v>36</v>
      </c>
      <c r="N7" s="15" t="s">
        <v>36</v>
      </c>
      <c r="O7" s="15" t="s">
        <v>40</v>
      </c>
      <c r="P7" s="18">
        <v>62</v>
      </c>
      <c r="Q7" s="15" t="s">
        <v>38</v>
      </c>
      <c r="R7" s="18">
        <v>36299.997100000001</v>
      </c>
      <c r="S7" s="18">
        <v>0</v>
      </c>
      <c r="T7" s="18">
        <v>0</v>
      </c>
      <c r="U7" s="18">
        <v>0</v>
      </c>
      <c r="V7" s="15" t="s">
        <v>36</v>
      </c>
      <c r="W7" s="15" t="s">
        <v>36</v>
      </c>
      <c r="X7" s="15" t="s">
        <v>36</v>
      </c>
      <c r="Y7" s="15" t="s">
        <v>36</v>
      </c>
      <c r="Z7" s="15" t="s">
        <v>36</v>
      </c>
    </row>
    <row r="8" spans="1:26" x14ac:dyDescent="0.25">
      <c r="A8" s="15" t="s">
        <v>55</v>
      </c>
      <c r="B8" s="15" t="s">
        <v>56</v>
      </c>
      <c r="C8" s="15" t="s">
        <v>54</v>
      </c>
      <c r="D8" s="17">
        <v>0</v>
      </c>
      <c r="E8" s="18">
        <v>1714.5876000000001</v>
      </c>
      <c r="F8" s="15" t="s">
        <v>36</v>
      </c>
      <c r="G8" s="15" t="s">
        <v>36</v>
      </c>
      <c r="H8" s="15" t="s">
        <v>36</v>
      </c>
      <c r="I8" s="15" t="s">
        <v>36</v>
      </c>
      <c r="J8" s="15" t="s">
        <v>36</v>
      </c>
      <c r="K8" s="15" t="s">
        <v>36</v>
      </c>
      <c r="L8" s="15" t="s">
        <v>36</v>
      </c>
      <c r="M8" s="15" t="s">
        <v>36</v>
      </c>
      <c r="N8" s="15" t="s">
        <v>36</v>
      </c>
      <c r="O8" s="15" t="s">
        <v>57</v>
      </c>
      <c r="P8" s="18">
        <v>12</v>
      </c>
      <c r="Q8" s="15" t="s">
        <v>38</v>
      </c>
      <c r="R8" s="18">
        <v>20575.050800000001</v>
      </c>
      <c r="S8" s="18">
        <v>0</v>
      </c>
      <c r="T8" s="18">
        <v>0</v>
      </c>
      <c r="U8" s="18">
        <v>0</v>
      </c>
      <c r="V8" s="15" t="s">
        <v>36</v>
      </c>
      <c r="W8" s="15" t="s">
        <v>36</v>
      </c>
      <c r="X8" s="15" t="s">
        <v>36</v>
      </c>
      <c r="Y8" s="15" t="s">
        <v>36</v>
      </c>
      <c r="Z8" s="15" t="s">
        <v>36</v>
      </c>
    </row>
    <row r="9" spans="1:26" x14ac:dyDescent="0.25">
      <c r="A9" s="15" t="s">
        <v>58</v>
      </c>
      <c r="B9" s="15" t="s">
        <v>59</v>
      </c>
      <c r="C9" s="15" t="s">
        <v>60</v>
      </c>
      <c r="D9" s="17">
        <v>0</v>
      </c>
      <c r="E9" s="18">
        <v>832.52859999999998</v>
      </c>
      <c r="F9" s="15" t="s">
        <v>36</v>
      </c>
      <c r="G9" s="15" t="s">
        <v>36</v>
      </c>
      <c r="H9" s="15" t="s">
        <v>36</v>
      </c>
      <c r="I9" s="15" t="s">
        <v>36</v>
      </c>
      <c r="J9" s="15" t="s">
        <v>36</v>
      </c>
      <c r="K9" s="15" t="s">
        <v>36</v>
      </c>
      <c r="L9" s="15" t="s">
        <v>36</v>
      </c>
      <c r="M9" s="15" t="s">
        <v>36</v>
      </c>
      <c r="N9" s="15" t="s">
        <v>36</v>
      </c>
      <c r="O9" s="15" t="s">
        <v>40</v>
      </c>
      <c r="P9" s="18">
        <v>69</v>
      </c>
      <c r="Q9" s="15" t="s">
        <v>38</v>
      </c>
      <c r="R9" s="18">
        <v>57444.473100000003</v>
      </c>
      <c r="S9" s="18">
        <v>0</v>
      </c>
      <c r="T9" s="18">
        <v>0</v>
      </c>
      <c r="U9" s="18">
        <v>0</v>
      </c>
      <c r="V9" s="15" t="s">
        <v>36</v>
      </c>
      <c r="W9" s="15" t="s">
        <v>36</v>
      </c>
      <c r="X9" s="15" t="s">
        <v>36</v>
      </c>
      <c r="Y9" s="15" t="s">
        <v>36</v>
      </c>
      <c r="Z9" s="15" t="s">
        <v>36</v>
      </c>
    </row>
    <row r="10" spans="1:26" x14ac:dyDescent="0.25">
      <c r="A10" s="15" t="s">
        <v>63</v>
      </c>
      <c r="B10" s="15" t="s">
        <v>64</v>
      </c>
      <c r="C10" s="15" t="s">
        <v>40</v>
      </c>
      <c r="D10" s="17">
        <v>0</v>
      </c>
      <c r="E10" s="18">
        <v>32568.462299999999</v>
      </c>
      <c r="F10" s="15" t="s">
        <v>36</v>
      </c>
      <c r="G10" s="15" t="s">
        <v>36</v>
      </c>
      <c r="H10" s="15" t="s">
        <v>36</v>
      </c>
      <c r="I10" s="15" t="s">
        <v>36</v>
      </c>
      <c r="J10" s="15" t="s">
        <v>36</v>
      </c>
      <c r="K10" s="15" t="s">
        <v>36</v>
      </c>
      <c r="L10" s="15" t="s">
        <v>36</v>
      </c>
      <c r="M10" s="15" t="s">
        <v>36</v>
      </c>
      <c r="N10" s="15" t="s">
        <v>36</v>
      </c>
      <c r="O10" s="15" t="s">
        <v>36</v>
      </c>
      <c r="P10" s="15" t="s">
        <v>36</v>
      </c>
      <c r="Q10" s="15" t="s">
        <v>36</v>
      </c>
      <c r="R10" s="15" t="s">
        <v>36</v>
      </c>
      <c r="S10" s="15" t="s">
        <v>36</v>
      </c>
      <c r="T10" s="15" t="s">
        <v>36</v>
      </c>
      <c r="U10" s="15" t="s">
        <v>36</v>
      </c>
      <c r="V10" s="15" t="s">
        <v>36</v>
      </c>
      <c r="W10" s="15" t="s">
        <v>36</v>
      </c>
      <c r="X10" s="15" t="s">
        <v>36</v>
      </c>
      <c r="Y10" s="15" t="s">
        <v>36</v>
      </c>
      <c r="Z10" s="15" t="s">
        <v>36</v>
      </c>
    </row>
    <row r="11" spans="1:26" x14ac:dyDescent="0.25">
      <c r="A11" s="15" t="s">
        <v>66</v>
      </c>
      <c r="B11" s="15" t="s">
        <v>67</v>
      </c>
      <c r="C11" s="15" t="s">
        <v>40</v>
      </c>
      <c r="D11" s="17">
        <v>0</v>
      </c>
      <c r="E11" s="18">
        <v>5456</v>
      </c>
      <c r="F11" s="15" t="s">
        <v>36</v>
      </c>
      <c r="G11" s="15" t="s">
        <v>36</v>
      </c>
      <c r="H11" s="15" t="s">
        <v>36</v>
      </c>
      <c r="I11" s="15" t="s">
        <v>36</v>
      </c>
      <c r="J11" s="15" t="s">
        <v>36</v>
      </c>
      <c r="K11" s="15" t="s">
        <v>36</v>
      </c>
      <c r="L11" s="15" t="s">
        <v>36</v>
      </c>
      <c r="M11" s="15" t="s">
        <v>36</v>
      </c>
      <c r="N11" s="15" t="s">
        <v>36</v>
      </c>
      <c r="O11" s="15" t="s">
        <v>37</v>
      </c>
      <c r="P11" s="18">
        <v>80</v>
      </c>
      <c r="Q11" s="15" t="s">
        <v>38</v>
      </c>
      <c r="R11" s="18">
        <v>436480</v>
      </c>
      <c r="S11" s="18">
        <v>0</v>
      </c>
      <c r="T11" s="18">
        <v>0</v>
      </c>
      <c r="U11" s="18">
        <v>0</v>
      </c>
      <c r="V11" s="15" t="s">
        <v>36</v>
      </c>
      <c r="W11" s="15" t="s">
        <v>36</v>
      </c>
      <c r="X11" s="15" t="s">
        <v>36</v>
      </c>
      <c r="Y11" s="15" t="s">
        <v>36</v>
      </c>
      <c r="Z11" s="15" t="s">
        <v>36</v>
      </c>
    </row>
    <row r="12" spans="1:26" x14ac:dyDescent="0.25">
      <c r="A12" s="15" t="s">
        <v>70</v>
      </c>
      <c r="B12" s="15" t="s">
        <v>72</v>
      </c>
      <c r="C12" s="15" t="s">
        <v>43</v>
      </c>
      <c r="D12" s="17">
        <v>0</v>
      </c>
      <c r="E12" s="18">
        <v>15981.4247</v>
      </c>
      <c r="F12" s="15" t="s">
        <v>36</v>
      </c>
      <c r="G12" s="15" t="s">
        <v>36</v>
      </c>
      <c r="H12" s="15" t="s">
        <v>36</v>
      </c>
      <c r="I12" s="15" t="s">
        <v>36</v>
      </c>
      <c r="J12" s="15" t="s">
        <v>36</v>
      </c>
      <c r="K12" s="15" t="s">
        <v>36</v>
      </c>
      <c r="L12" s="15" t="s">
        <v>36</v>
      </c>
      <c r="M12" s="15" t="s">
        <v>36</v>
      </c>
      <c r="N12" s="15" t="s">
        <v>36</v>
      </c>
      <c r="O12" s="15" t="s">
        <v>37</v>
      </c>
      <c r="P12" s="18">
        <v>10</v>
      </c>
      <c r="Q12" s="15" t="s">
        <v>38</v>
      </c>
      <c r="R12" s="18">
        <v>159814.24739999999</v>
      </c>
      <c r="S12" s="18">
        <v>0</v>
      </c>
      <c r="T12" s="18">
        <v>0</v>
      </c>
      <c r="U12" s="18">
        <v>0</v>
      </c>
      <c r="V12" s="15" t="s">
        <v>36</v>
      </c>
      <c r="W12" s="15" t="s">
        <v>36</v>
      </c>
      <c r="X12" s="15" t="s">
        <v>36</v>
      </c>
      <c r="Y12" s="15" t="s">
        <v>36</v>
      </c>
      <c r="Z12" s="15" t="s">
        <v>36</v>
      </c>
    </row>
    <row r="13" spans="1:26" x14ac:dyDescent="0.25">
      <c r="A13" s="15" t="s">
        <v>69</v>
      </c>
      <c r="B13" s="15" t="s">
        <v>71</v>
      </c>
      <c r="C13" s="15" t="s">
        <v>43</v>
      </c>
      <c r="D13" s="17">
        <v>0</v>
      </c>
      <c r="E13" s="18">
        <v>38500.011299999998</v>
      </c>
      <c r="F13" s="15" t="s">
        <v>36</v>
      </c>
      <c r="G13" s="15" t="s">
        <v>36</v>
      </c>
      <c r="H13" s="15" t="s">
        <v>36</v>
      </c>
      <c r="I13" s="15" t="s">
        <v>36</v>
      </c>
      <c r="J13" s="15" t="s">
        <v>36</v>
      </c>
      <c r="K13" s="15" t="s">
        <v>36</v>
      </c>
      <c r="L13" s="15" t="s">
        <v>36</v>
      </c>
      <c r="M13" s="15" t="s">
        <v>36</v>
      </c>
      <c r="N13" s="15" t="s">
        <v>36</v>
      </c>
      <c r="O13" s="15" t="s">
        <v>48</v>
      </c>
      <c r="P13" s="18">
        <v>8</v>
      </c>
      <c r="Q13" s="15" t="s">
        <v>38</v>
      </c>
      <c r="R13" s="18">
        <v>308000.09049999999</v>
      </c>
      <c r="S13" s="18">
        <v>0</v>
      </c>
      <c r="T13" s="18">
        <v>0</v>
      </c>
      <c r="U13" s="18">
        <v>0</v>
      </c>
      <c r="V13" s="15" t="s">
        <v>36</v>
      </c>
      <c r="W13" s="15" t="s">
        <v>36</v>
      </c>
      <c r="X13" s="15" t="s">
        <v>36</v>
      </c>
      <c r="Y13" s="15" t="s">
        <v>36</v>
      </c>
      <c r="Z13" s="15" t="s">
        <v>36</v>
      </c>
    </row>
    <row r="14" spans="1:26" x14ac:dyDescent="0.25">
      <c r="A14" s="15" t="s">
        <v>74</v>
      </c>
      <c r="B14" s="15" t="s">
        <v>75</v>
      </c>
      <c r="C14" s="15" t="s">
        <v>43</v>
      </c>
      <c r="D14" s="17">
        <v>0</v>
      </c>
      <c r="E14" s="18">
        <v>74910</v>
      </c>
      <c r="F14" s="15" t="s">
        <v>36</v>
      </c>
      <c r="G14" s="15" t="s">
        <v>36</v>
      </c>
      <c r="H14" s="15" t="s">
        <v>36</v>
      </c>
      <c r="I14" s="15" t="s">
        <v>36</v>
      </c>
      <c r="J14" s="15" t="s">
        <v>36</v>
      </c>
      <c r="K14" s="15" t="s">
        <v>36</v>
      </c>
      <c r="L14" s="15" t="s">
        <v>36</v>
      </c>
      <c r="M14" s="15" t="s">
        <v>36</v>
      </c>
      <c r="N14" s="15" t="s">
        <v>36</v>
      </c>
      <c r="O14" s="15" t="s">
        <v>48</v>
      </c>
      <c r="P14" s="18">
        <v>6</v>
      </c>
      <c r="Q14" s="15" t="s">
        <v>38</v>
      </c>
      <c r="R14" s="18">
        <v>449460</v>
      </c>
      <c r="S14" s="18">
        <v>0</v>
      </c>
      <c r="T14" s="18">
        <v>0</v>
      </c>
      <c r="U14" s="18">
        <v>0</v>
      </c>
      <c r="V14" s="15" t="s">
        <v>36</v>
      </c>
      <c r="W14" s="15" t="s">
        <v>36</v>
      </c>
      <c r="X14" s="15" t="s">
        <v>36</v>
      </c>
      <c r="Y14" s="15" t="s">
        <v>36</v>
      </c>
      <c r="Z14" s="15" t="s">
        <v>36</v>
      </c>
    </row>
    <row r="15" spans="1:26" x14ac:dyDescent="0.25">
      <c r="A15" s="15" t="s">
        <v>78</v>
      </c>
      <c r="B15" s="15" t="s">
        <v>79</v>
      </c>
      <c r="C15" s="15" t="s">
        <v>54</v>
      </c>
      <c r="D15" s="17">
        <v>0</v>
      </c>
      <c r="E15" s="18">
        <v>550</v>
      </c>
      <c r="F15" s="15" t="s">
        <v>36</v>
      </c>
      <c r="G15" s="15" t="s">
        <v>36</v>
      </c>
      <c r="H15" s="15" t="s">
        <v>36</v>
      </c>
      <c r="I15" s="15" t="s">
        <v>36</v>
      </c>
      <c r="J15" s="15" t="s">
        <v>36</v>
      </c>
      <c r="K15" s="15" t="s">
        <v>36</v>
      </c>
      <c r="L15" s="15" t="s">
        <v>36</v>
      </c>
      <c r="M15" s="15" t="s">
        <v>36</v>
      </c>
      <c r="N15" s="15" t="s">
        <v>36</v>
      </c>
      <c r="O15" s="15" t="s">
        <v>40</v>
      </c>
      <c r="P15" s="18">
        <v>62</v>
      </c>
      <c r="Q15" s="15" t="s">
        <v>38</v>
      </c>
      <c r="R15" s="18">
        <v>34100</v>
      </c>
      <c r="S15" s="18">
        <v>0</v>
      </c>
      <c r="T15" s="18">
        <v>0</v>
      </c>
      <c r="U15" s="18">
        <v>0</v>
      </c>
      <c r="V15" s="15" t="s">
        <v>36</v>
      </c>
      <c r="W15" s="15" t="s">
        <v>36</v>
      </c>
      <c r="X15" s="15" t="s">
        <v>36</v>
      </c>
      <c r="Y15" s="15" t="s">
        <v>36</v>
      </c>
      <c r="Z15" s="15" t="s">
        <v>36</v>
      </c>
    </row>
    <row r="16" spans="1:26" x14ac:dyDescent="0.25">
      <c r="A16" s="15" t="s">
        <v>76</v>
      </c>
      <c r="B16" s="15" t="s">
        <v>77</v>
      </c>
      <c r="C16" s="15" t="s">
        <v>54</v>
      </c>
      <c r="D16" s="17">
        <v>0</v>
      </c>
      <c r="E16" s="18">
        <v>2383.3307</v>
      </c>
      <c r="F16" s="15" t="s">
        <v>36</v>
      </c>
      <c r="G16" s="15" t="s">
        <v>36</v>
      </c>
      <c r="H16" s="15" t="s">
        <v>36</v>
      </c>
      <c r="I16" s="15" t="s">
        <v>36</v>
      </c>
      <c r="J16" s="15" t="s">
        <v>36</v>
      </c>
      <c r="K16" s="15" t="s">
        <v>36</v>
      </c>
      <c r="L16" s="15" t="s">
        <v>36</v>
      </c>
      <c r="M16" s="15" t="s">
        <v>36</v>
      </c>
      <c r="N16" s="15" t="s">
        <v>36</v>
      </c>
      <c r="O16" s="15" t="s">
        <v>40</v>
      </c>
      <c r="P16" s="18">
        <v>12</v>
      </c>
      <c r="Q16" s="15" t="s">
        <v>38</v>
      </c>
      <c r="R16" s="18">
        <v>28599.968199999999</v>
      </c>
      <c r="S16" s="18">
        <v>0</v>
      </c>
      <c r="T16" s="18">
        <v>0</v>
      </c>
      <c r="U16" s="18">
        <v>0</v>
      </c>
      <c r="V16" s="15" t="s">
        <v>36</v>
      </c>
      <c r="W16" s="15" t="s">
        <v>36</v>
      </c>
      <c r="X16" s="15" t="s">
        <v>36</v>
      </c>
      <c r="Y16" s="15" t="s">
        <v>36</v>
      </c>
      <c r="Z16" s="15" t="s">
        <v>36</v>
      </c>
    </row>
    <row r="17" spans="1:26" x14ac:dyDescent="0.25">
      <c r="A17" s="15" t="s">
        <v>86</v>
      </c>
      <c r="B17" s="15" t="s">
        <v>87</v>
      </c>
      <c r="C17" s="15" t="s">
        <v>40</v>
      </c>
      <c r="D17" s="17">
        <v>0</v>
      </c>
      <c r="E17" s="18">
        <v>14575</v>
      </c>
      <c r="F17" s="15" t="s">
        <v>36</v>
      </c>
      <c r="G17" s="15" t="s">
        <v>36</v>
      </c>
      <c r="H17" s="15" t="s">
        <v>36</v>
      </c>
      <c r="I17" s="15" t="s">
        <v>36</v>
      </c>
      <c r="J17" s="15" t="s">
        <v>36</v>
      </c>
      <c r="K17" s="15" t="s">
        <v>36</v>
      </c>
      <c r="L17" s="15" t="s">
        <v>36</v>
      </c>
      <c r="M17" s="15" t="s">
        <v>36</v>
      </c>
      <c r="N17" s="15" t="s">
        <v>36</v>
      </c>
      <c r="O17" s="15" t="s">
        <v>36</v>
      </c>
      <c r="P17" s="15" t="s">
        <v>36</v>
      </c>
      <c r="Q17" s="15" t="s">
        <v>36</v>
      </c>
      <c r="R17" s="15" t="s">
        <v>36</v>
      </c>
      <c r="S17" s="15" t="s">
        <v>36</v>
      </c>
      <c r="T17" s="15" t="s">
        <v>36</v>
      </c>
      <c r="U17" s="15" t="s">
        <v>36</v>
      </c>
      <c r="V17" s="15" t="s">
        <v>36</v>
      </c>
      <c r="W17" s="15" t="s">
        <v>36</v>
      </c>
      <c r="X17" s="15" t="s">
        <v>36</v>
      </c>
      <c r="Y17" s="15" t="s">
        <v>36</v>
      </c>
      <c r="Z17" s="15" t="s">
        <v>36</v>
      </c>
    </row>
    <row r="18" spans="1:26" x14ac:dyDescent="0.25">
      <c r="A18" s="15" t="s">
        <v>98</v>
      </c>
      <c r="B18" s="15" t="s">
        <v>99</v>
      </c>
      <c r="C18" s="15" t="s">
        <v>100</v>
      </c>
      <c r="D18" s="17">
        <v>0</v>
      </c>
      <c r="E18" s="18">
        <v>7512.3548000000001</v>
      </c>
      <c r="F18" s="15" t="s">
        <v>36</v>
      </c>
      <c r="G18" s="15" t="s">
        <v>36</v>
      </c>
      <c r="H18" s="15" t="s">
        <v>36</v>
      </c>
      <c r="I18" s="15" t="s">
        <v>36</v>
      </c>
      <c r="J18" s="15" t="s">
        <v>36</v>
      </c>
      <c r="K18" s="15" t="s">
        <v>36</v>
      </c>
      <c r="L18" s="15" t="s">
        <v>36</v>
      </c>
      <c r="M18" s="15" t="s">
        <v>36</v>
      </c>
      <c r="N18" s="15" t="s">
        <v>36</v>
      </c>
      <c r="O18" s="15" t="s">
        <v>36</v>
      </c>
      <c r="P18" s="15" t="s">
        <v>36</v>
      </c>
      <c r="Q18" s="15" t="s">
        <v>36</v>
      </c>
      <c r="R18" s="15" t="s">
        <v>36</v>
      </c>
      <c r="S18" s="15" t="s">
        <v>36</v>
      </c>
      <c r="T18" s="15" t="s">
        <v>36</v>
      </c>
      <c r="U18" s="15" t="s">
        <v>36</v>
      </c>
      <c r="V18" s="15" t="s">
        <v>36</v>
      </c>
      <c r="W18" s="15" t="s">
        <v>36</v>
      </c>
      <c r="X18" s="15" t="s">
        <v>36</v>
      </c>
      <c r="Y18" s="15" t="s">
        <v>36</v>
      </c>
      <c r="Z18" s="15" t="s">
        <v>36</v>
      </c>
    </row>
    <row r="19" spans="1:26" x14ac:dyDescent="0.25">
      <c r="A19" s="15" t="s">
        <v>101</v>
      </c>
      <c r="B19" s="15" t="s">
        <v>102</v>
      </c>
      <c r="C19" s="15" t="s">
        <v>43</v>
      </c>
      <c r="D19" s="17">
        <v>0</v>
      </c>
      <c r="E19" s="18">
        <v>39600</v>
      </c>
      <c r="F19" s="15" t="s">
        <v>36</v>
      </c>
      <c r="G19" s="15" t="s">
        <v>36</v>
      </c>
      <c r="H19" s="15" t="s">
        <v>36</v>
      </c>
      <c r="I19" s="15" t="s">
        <v>36</v>
      </c>
      <c r="J19" s="15" t="s">
        <v>36</v>
      </c>
      <c r="K19" s="15" t="s">
        <v>36</v>
      </c>
      <c r="L19" s="15" t="s">
        <v>36</v>
      </c>
      <c r="M19" s="15" t="s">
        <v>36</v>
      </c>
      <c r="N19" s="15" t="s">
        <v>36</v>
      </c>
      <c r="O19" s="15" t="s">
        <v>48</v>
      </c>
      <c r="P19" s="18">
        <v>8</v>
      </c>
      <c r="Q19" s="15" t="s">
        <v>38</v>
      </c>
      <c r="R19" s="18">
        <v>316800</v>
      </c>
      <c r="S19" s="18">
        <v>0</v>
      </c>
      <c r="T19" s="18">
        <v>0</v>
      </c>
      <c r="U19" s="18">
        <v>0</v>
      </c>
      <c r="V19" s="15" t="s">
        <v>36</v>
      </c>
      <c r="W19" s="15" t="s">
        <v>36</v>
      </c>
      <c r="X19" s="15" t="s">
        <v>36</v>
      </c>
      <c r="Y19" s="15" t="s">
        <v>36</v>
      </c>
      <c r="Z19" s="15" t="s">
        <v>36</v>
      </c>
    </row>
    <row r="20" spans="1:26" x14ac:dyDescent="0.25">
      <c r="A20" s="15" t="s">
        <v>103</v>
      </c>
      <c r="B20" s="15" t="s">
        <v>104</v>
      </c>
      <c r="C20" s="15" t="s">
        <v>54</v>
      </c>
      <c r="D20" s="15" t="s">
        <v>36</v>
      </c>
      <c r="E20" s="15" t="s">
        <v>36</v>
      </c>
      <c r="F20" s="15" t="s">
        <v>36</v>
      </c>
      <c r="G20" s="15" t="s">
        <v>36</v>
      </c>
      <c r="H20" s="15" t="s">
        <v>36</v>
      </c>
      <c r="I20" s="15" t="s">
        <v>36</v>
      </c>
      <c r="J20" s="15" t="s">
        <v>36</v>
      </c>
      <c r="K20" s="15" t="s">
        <v>36</v>
      </c>
      <c r="L20" s="15" t="s">
        <v>36</v>
      </c>
      <c r="M20" s="15" t="s">
        <v>36</v>
      </c>
      <c r="N20" s="15" t="s">
        <v>36</v>
      </c>
      <c r="O20" s="15" t="s">
        <v>105</v>
      </c>
      <c r="P20" s="18">
        <v>1</v>
      </c>
      <c r="Q20" s="15" t="s">
        <v>38</v>
      </c>
      <c r="R20" s="18">
        <v>0</v>
      </c>
      <c r="S20" s="18">
        <v>0</v>
      </c>
      <c r="T20" s="18">
        <v>0</v>
      </c>
      <c r="U20" s="18">
        <v>0</v>
      </c>
      <c r="V20" s="15" t="s">
        <v>36</v>
      </c>
      <c r="W20" s="15" t="s">
        <v>36</v>
      </c>
      <c r="X20" s="15" t="s">
        <v>36</v>
      </c>
      <c r="Y20" s="15" t="s">
        <v>36</v>
      </c>
      <c r="Z20" s="15" t="s">
        <v>36</v>
      </c>
    </row>
    <row r="21" spans="1:26" ht="15.75" customHeight="1" x14ac:dyDescent="0.25">
      <c r="A21" s="15" t="s">
        <v>36</v>
      </c>
      <c r="B21" s="15" t="s">
        <v>36</v>
      </c>
      <c r="C21" s="15" t="s">
        <v>36</v>
      </c>
      <c r="D21" s="15" t="s">
        <v>36</v>
      </c>
      <c r="E21" s="15" t="s">
        <v>36</v>
      </c>
      <c r="F21" s="15" t="s">
        <v>36</v>
      </c>
      <c r="G21" s="15" t="s">
        <v>36</v>
      </c>
      <c r="H21" s="15" t="s">
        <v>36</v>
      </c>
      <c r="I21" s="15" t="s">
        <v>36</v>
      </c>
      <c r="J21" s="15" t="s">
        <v>36</v>
      </c>
      <c r="K21" s="15" t="s">
        <v>36</v>
      </c>
      <c r="L21" s="15" t="s">
        <v>36</v>
      </c>
      <c r="M21" s="15" t="s">
        <v>36</v>
      </c>
      <c r="N21" s="15" t="s">
        <v>36</v>
      </c>
      <c r="O21" s="15" t="s">
        <v>37</v>
      </c>
      <c r="P21" s="18">
        <v>10</v>
      </c>
      <c r="Q21" s="15" t="s">
        <v>38</v>
      </c>
      <c r="R21" s="18">
        <v>0</v>
      </c>
      <c r="S21" s="18">
        <v>0</v>
      </c>
      <c r="T21" s="18">
        <v>0</v>
      </c>
      <c r="U21" s="18">
        <v>0</v>
      </c>
      <c r="V21" s="15" t="s">
        <v>36</v>
      </c>
      <c r="W21" s="15" t="s">
        <v>36</v>
      </c>
      <c r="X21" s="15" t="s">
        <v>36</v>
      </c>
      <c r="Y21" s="15" t="s">
        <v>36</v>
      </c>
      <c r="Z21" s="15" t="s">
        <v>36</v>
      </c>
    </row>
    <row r="22" spans="1:26" ht="15.75" customHeight="1" x14ac:dyDescent="0.25">
      <c r="A22" s="15" t="s">
        <v>109</v>
      </c>
      <c r="B22" s="15" t="s">
        <v>110</v>
      </c>
      <c r="C22" s="15" t="s">
        <v>54</v>
      </c>
      <c r="D22" s="17">
        <v>0</v>
      </c>
      <c r="E22" s="18">
        <v>15562.8</v>
      </c>
      <c r="F22" s="15" t="s">
        <v>36</v>
      </c>
      <c r="G22" s="15" t="s">
        <v>36</v>
      </c>
      <c r="H22" s="15" t="s">
        <v>36</v>
      </c>
      <c r="I22" s="15" t="s">
        <v>36</v>
      </c>
      <c r="J22" s="15" t="s">
        <v>36</v>
      </c>
      <c r="K22" s="15" t="s">
        <v>36</v>
      </c>
      <c r="L22" s="15" t="s">
        <v>36</v>
      </c>
      <c r="M22" s="15" t="s">
        <v>36</v>
      </c>
      <c r="N22" s="15" t="s">
        <v>36</v>
      </c>
      <c r="O22" s="15" t="s">
        <v>37</v>
      </c>
      <c r="P22" s="18">
        <v>10</v>
      </c>
      <c r="Q22" s="15" t="s">
        <v>38</v>
      </c>
      <c r="R22" s="18">
        <v>155628</v>
      </c>
      <c r="S22" s="18">
        <v>0</v>
      </c>
      <c r="T22" s="18">
        <v>0</v>
      </c>
      <c r="U22" s="18">
        <v>0</v>
      </c>
      <c r="V22" s="15" t="s">
        <v>36</v>
      </c>
      <c r="W22" s="15" t="s">
        <v>36</v>
      </c>
      <c r="X22" s="15" t="s">
        <v>36</v>
      </c>
      <c r="Y22" s="15" t="s">
        <v>36</v>
      </c>
      <c r="Z22" s="15" t="s">
        <v>36</v>
      </c>
    </row>
    <row r="23" spans="1:26" ht="15.75" customHeight="1" x14ac:dyDescent="0.25">
      <c r="A23" s="15" t="s">
        <v>113</v>
      </c>
      <c r="B23" s="15" t="s">
        <v>114</v>
      </c>
      <c r="C23" s="15" t="s">
        <v>54</v>
      </c>
      <c r="D23" s="17">
        <v>0</v>
      </c>
      <c r="E23" s="18">
        <v>15562.8</v>
      </c>
      <c r="F23" s="15" t="s">
        <v>36</v>
      </c>
      <c r="G23" s="15" t="s">
        <v>36</v>
      </c>
      <c r="H23" s="15" t="s">
        <v>36</v>
      </c>
      <c r="I23" s="15" t="s">
        <v>36</v>
      </c>
      <c r="J23" s="15" t="s">
        <v>36</v>
      </c>
      <c r="K23" s="15" t="s">
        <v>36</v>
      </c>
      <c r="L23" s="15" t="s">
        <v>36</v>
      </c>
      <c r="M23" s="15" t="s">
        <v>36</v>
      </c>
      <c r="N23" s="15" t="s">
        <v>36</v>
      </c>
      <c r="O23" s="15" t="s">
        <v>37</v>
      </c>
      <c r="P23" s="18">
        <v>10</v>
      </c>
      <c r="Q23" s="15" t="s">
        <v>38</v>
      </c>
      <c r="R23" s="18">
        <v>155628</v>
      </c>
      <c r="S23" s="18">
        <v>0</v>
      </c>
      <c r="T23" s="18">
        <v>0</v>
      </c>
      <c r="U23" s="18">
        <v>0</v>
      </c>
      <c r="V23" s="15" t="s">
        <v>36</v>
      </c>
      <c r="W23" s="15" t="s">
        <v>36</v>
      </c>
      <c r="X23" s="15" t="s">
        <v>36</v>
      </c>
      <c r="Y23" s="15" t="s">
        <v>36</v>
      </c>
      <c r="Z23" s="15" t="s">
        <v>36</v>
      </c>
    </row>
    <row r="24" spans="1:26" ht="15.75" customHeight="1" x14ac:dyDescent="0.25">
      <c r="A24" s="15" t="s">
        <v>117</v>
      </c>
      <c r="B24" s="15" t="s">
        <v>118</v>
      </c>
      <c r="C24" s="15" t="s">
        <v>54</v>
      </c>
      <c r="D24" s="17">
        <v>0</v>
      </c>
      <c r="E24" s="18">
        <v>15562.8</v>
      </c>
      <c r="F24" s="15" t="s">
        <v>36</v>
      </c>
      <c r="G24" s="15" t="s">
        <v>36</v>
      </c>
      <c r="H24" s="15" t="s">
        <v>36</v>
      </c>
      <c r="I24" s="15" t="s">
        <v>36</v>
      </c>
      <c r="J24" s="15" t="s">
        <v>36</v>
      </c>
      <c r="K24" s="15" t="s">
        <v>36</v>
      </c>
      <c r="L24" s="15" t="s">
        <v>36</v>
      </c>
      <c r="M24" s="15" t="s">
        <v>36</v>
      </c>
      <c r="N24" s="15" t="s">
        <v>36</v>
      </c>
      <c r="O24" s="15" t="s">
        <v>37</v>
      </c>
      <c r="P24" s="18">
        <v>10</v>
      </c>
      <c r="Q24" s="15" t="s">
        <v>38</v>
      </c>
      <c r="R24" s="18">
        <v>155628</v>
      </c>
      <c r="S24" s="18">
        <v>0</v>
      </c>
      <c r="T24" s="18">
        <v>0</v>
      </c>
      <c r="U24" s="18">
        <v>0</v>
      </c>
      <c r="V24" s="15" t="s">
        <v>36</v>
      </c>
      <c r="W24" s="15" t="s">
        <v>36</v>
      </c>
      <c r="X24" s="15" t="s">
        <v>36</v>
      </c>
      <c r="Y24" s="15" t="s">
        <v>36</v>
      </c>
      <c r="Z24" s="15" t="s">
        <v>36</v>
      </c>
    </row>
    <row r="25" spans="1:26" ht="15.75" customHeight="1" x14ac:dyDescent="0.25">
      <c r="A25" s="15" t="s">
        <v>119</v>
      </c>
      <c r="B25" s="15" t="s">
        <v>120</v>
      </c>
      <c r="C25" s="15" t="s">
        <v>54</v>
      </c>
      <c r="D25" s="17">
        <v>0</v>
      </c>
      <c r="E25" s="18">
        <v>3825.36</v>
      </c>
      <c r="F25" s="15" t="s">
        <v>36</v>
      </c>
      <c r="G25" s="15" t="s">
        <v>36</v>
      </c>
      <c r="H25" s="15" t="s">
        <v>36</v>
      </c>
      <c r="I25" s="15" t="s">
        <v>36</v>
      </c>
      <c r="J25" s="15" t="s">
        <v>36</v>
      </c>
      <c r="K25" s="15" t="s">
        <v>36</v>
      </c>
      <c r="L25" s="15" t="s">
        <v>36</v>
      </c>
      <c r="M25" s="15" t="s">
        <v>36</v>
      </c>
      <c r="N25" s="15" t="s">
        <v>36</v>
      </c>
      <c r="O25" s="15" t="s">
        <v>37</v>
      </c>
      <c r="P25" s="18">
        <v>50</v>
      </c>
      <c r="Q25" s="15" t="s">
        <v>38</v>
      </c>
      <c r="R25" s="18">
        <v>191268</v>
      </c>
      <c r="S25" s="18">
        <v>0</v>
      </c>
      <c r="T25" s="18">
        <v>0</v>
      </c>
      <c r="U25" s="18">
        <v>0</v>
      </c>
      <c r="V25" s="15" t="s">
        <v>36</v>
      </c>
      <c r="W25" s="15" t="s">
        <v>36</v>
      </c>
      <c r="X25" s="15" t="s">
        <v>36</v>
      </c>
      <c r="Y25" s="15" t="s">
        <v>36</v>
      </c>
      <c r="Z25" s="15" t="s">
        <v>36</v>
      </c>
    </row>
    <row r="26" spans="1:26" ht="15.75" customHeight="1" x14ac:dyDescent="0.25">
      <c r="A26" s="15" t="s">
        <v>123</v>
      </c>
      <c r="B26" s="15" t="s">
        <v>124</v>
      </c>
      <c r="C26" s="15" t="s">
        <v>57</v>
      </c>
      <c r="D26" s="17">
        <v>0</v>
      </c>
      <c r="E26" s="18">
        <v>22000.089199999999</v>
      </c>
      <c r="F26" s="15" t="s">
        <v>36</v>
      </c>
      <c r="G26" s="15" t="s">
        <v>36</v>
      </c>
      <c r="H26" s="15" t="s">
        <v>36</v>
      </c>
      <c r="I26" s="15" t="s">
        <v>36</v>
      </c>
      <c r="J26" s="15" t="s">
        <v>36</v>
      </c>
      <c r="K26" s="15" t="s">
        <v>36</v>
      </c>
      <c r="L26" s="15" t="s">
        <v>36</v>
      </c>
      <c r="M26" s="15" t="s">
        <v>36</v>
      </c>
      <c r="N26" s="15" t="s">
        <v>36</v>
      </c>
      <c r="O26" s="15" t="s">
        <v>37</v>
      </c>
      <c r="P26" s="18">
        <v>12</v>
      </c>
      <c r="Q26" s="15" t="s">
        <v>38</v>
      </c>
      <c r="R26" s="18">
        <v>264001.07030000002</v>
      </c>
      <c r="S26" s="18">
        <v>0</v>
      </c>
      <c r="T26" s="18">
        <v>0</v>
      </c>
      <c r="U26" s="18">
        <v>0</v>
      </c>
      <c r="V26" s="15" t="s">
        <v>36</v>
      </c>
      <c r="W26" s="15" t="s">
        <v>36</v>
      </c>
      <c r="X26" s="15" t="s">
        <v>36</v>
      </c>
      <c r="Y26" s="15" t="s">
        <v>36</v>
      </c>
      <c r="Z26" s="15" t="s">
        <v>36</v>
      </c>
    </row>
    <row r="27" spans="1:26" ht="15.75" customHeight="1" x14ac:dyDescent="0.25">
      <c r="A27" s="15" t="s">
        <v>127</v>
      </c>
      <c r="B27" s="15" t="s">
        <v>128</v>
      </c>
      <c r="C27" s="15" t="s">
        <v>57</v>
      </c>
      <c r="D27" s="17">
        <v>0</v>
      </c>
      <c r="E27" s="18">
        <v>15400</v>
      </c>
      <c r="F27" s="15" t="s">
        <v>36</v>
      </c>
      <c r="G27" s="15" t="s">
        <v>36</v>
      </c>
      <c r="H27" s="15" t="s">
        <v>36</v>
      </c>
      <c r="I27" s="15" t="s">
        <v>36</v>
      </c>
      <c r="J27" s="15" t="s">
        <v>36</v>
      </c>
      <c r="K27" s="15" t="s">
        <v>36</v>
      </c>
      <c r="L27" s="15" t="s">
        <v>36</v>
      </c>
      <c r="M27" s="15" t="s">
        <v>36</v>
      </c>
      <c r="N27" s="15" t="s">
        <v>36</v>
      </c>
      <c r="O27" s="15" t="s">
        <v>37</v>
      </c>
      <c r="P27" s="18">
        <v>12</v>
      </c>
      <c r="Q27" s="15" t="s">
        <v>38</v>
      </c>
      <c r="R27" s="18">
        <v>184800</v>
      </c>
      <c r="S27" s="18">
        <v>0</v>
      </c>
      <c r="T27" s="18">
        <v>0</v>
      </c>
      <c r="U27" s="18">
        <v>0</v>
      </c>
      <c r="V27" s="15" t="s">
        <v>36</v>
      </c>
      <c r="W27" s="15" t="s">
        <v>36</v>
      </c>
      <c r="X27" s="15" t="s">
        <v>36</v>
      </c>
      <c r="Y27" s="15" t="s">
        <v>36</v>
      </c>
      <c r="Z27" s="15" t="s">
        <v>36</v>
      </c>
    </row>
    <row r="28" spans="1:26" ht="15.75" customHeight="1" x14ac:dyDescent="0.25">
      <c r="A28" s="15" t="s">
        <v>129</v>
      </c>
      <c r="B28" s="15" t="s">
        <v>130</v>
      </c>
      <c r="C28" s="15" t="s">
        <v>131</v>
      </c>
      <c r="D28" s="17">
        <v>0</v>
      </c>
      <c r="E28" s="18">
        <v>1815</v>
      </c>
      <c r="F28" s="15" t="s">
        <v>36</v>
      </c>
      <c r="G28" s="15" t="s">
        <v>36</v>
      </c>
      <c r="H28" s="15" t="s">
        <v>36</v>
      </c>
      <c r="I28" s="15" t="s">
        <v>36</v>
      </c>
      <c r="J28" s="15" t="s">
        <v>36</v>
      </c>
      <c r="K28" s="15" t="s">
        <v>36</v>
      </c>
      <c r="L28" s="15" t="s">
        <v>36</v>
      </c>
      <c r="M28" s="15" t="s">
        <v>36</v>
      </c>
      <c r="N28" s="15" t="s">
        <v>36</v>
      </c>
      <c r="O28" s="15" t="s">
        <v>37</v>
      </c>
      <c r="P28" s="18">
        <v>100</v>
      </c>
      <c r="Q28" s="15" t="s">
        <v>38</v>
      </c>
      <c r="R28" s="18">
        <v>181500</v>
      </c>
      <c r="S28" s="18">
        <v>0</v>
      </c>
      <c r="T28" s="18">
        <v>0</v>
      </c>
      <c r="U28" s="18">
        <v>0</v>
      </c>
      <c r="V28" s="15" t="s">
        <v>36</v>
      </c>
      <c r="W28" s="15" t="s">
        <v>36</v>
      </c>
      <c r="X28" s="15" t="s">
        <v>36</v>
      </c>
      <c r="Y28" s="15" t="s">
        <v>36</v>
      </c>
      <c r="Z28" s="15" t="s">
        <v>36</v>
      </c>
    </row>
    <row r="29" spans="1:26" ht="15.75" customHeight="1" x14ac:dyDescent="0.25">
      <c r="A29" s="15" t="s">
        <v>134</v>
      </c>
      <c r="B29" s="15" t="s">
        <v>135</v>
      </c>
      <c r="C29" s="15" t="s">
        <v>131</v>
      </c>
      <c r="D29" s="17">
        <v>0</v>
      </c>
      <c r="E29" s="18">
        <v>1815</v>
      </c>
      <c r="F29" s="15" t="s">
        <v>36</v>
      </c>
      <c r="G29" s="15" t="s">
        <v>36</v>
      </c>
      <c r="H29" s="15" t="s">
        <v>36</v>
      </c>
      <c r="I29" s="15" t="s">
        <v>36</v>
      </c>
      <c r="J29" s="15" t="s">
        <v>36</v>
      </c>
      <c r="K29" s="15" t="s">
        <v>36</v>
      </c>
      <c r="L29" s="15" t="s">
        <v>36</v>
      </c>
      <c r="M29" s="15" t="s">
        <v>36</v>
      </c>
      <c r="N29" s="15" t="s">
        <v>36</v>
      </c>
      <c r="O29" s="15" t="s">
        <v>37</v>
      </c>
      <c r="P29" s="18">
        <v>100</v>
      </c>
      <c r="Q29" s="15" t="s">
        <v>38</v>
      </c>
      <c r="R29" s="18">
        <v>181500</v>
      </c>
      <c r="S29" s="18">
        <v>0</v>
      </c>
      <c r="T29" s="18">
        <v>0</v>
      </c>
      <c r="U29" s="18">
        <v>0</v>
      </c>
      <c r="V29" s="15" t="s">
        <v>36</v>
      </c>
      <c r="W29" s="15" t="s">
        <v>36</v>
      </c>
      <c r="X29" s="15" t="s">
        <v>36</v>
      </c>
      <c r="Y29" s="15" t="s">
        <v>36</v>
      </c>
      <c r="Z29" s="15" t="s">
        <v>36</v>
      </c>
    </row>
    <row r="30" spans="1:26" ht="15.75" customHeight="1" x14ac:dyDescent="0.25">
      <c r="A30" s="15" t="s">
        <v>136</v>
      </c>
      <c r="B30" s="15" t="s">
        <v>137</v>
      </c>
      <c r="C30" s="15" t="s">
        <v>54</v>
      </c>
      <c r="D30" s="17">
        <v>0</v>
      </c>
      <c r="E30" s="18">
        <v>6682.5</v>
      </c>
      <c r="F30" s="15" t="s">
        <v>36</v>
      </c>
      <c r="G30" s="15" t="s">
        <v>36</v>
      </c>
      <c r="H30" s="15" t="s">
        <v>36</v>
      </c>
      <c r="I30" s="15" t="s">
        <v>36</v>
      </c>
      <c r="J30" s="15" t="s">
        <v>36</v>
      </c>
      <c r="K30" s="15" t="s">
        <v>36</v>
      </c>
      <c r="L30" s="15" t="s">
        <v>36</v>
      </c>
      <c r="M30" s="15" t="s">
        <v>36</v>
      </c>
      <c r="N30" s="15" t="s">
        <v>36</v>
      </c>
      <c r="O30" s="15" t="s">
        <v>37</v>
      </c>
      <c r="P30" s="18">
        <v>24</v>
      </c>
      <c r="Q30" s="15" t="s">
        <v>38</v>
      </c>
      <c r="R30" s="18">
        <v>160380</v>
      </c>
      <c r="S30" s="18">
        <v>0</v>
      </c>
      <c r="T30" s="18">
        <v>0</v>
      </c>
      <c r="U30" s="18">
        <v>0</v>
      </c>
      <c r="V30" s="15" t="s">
        <v>36</v>
      </c>
      <c r="W30" s="15" t="s">
        <v>36</v>
      </c>
      <c r="X30" s="15" t="s">
        <v>36</v>
      </c>
      <c r="Y30" s="15" t="s">
        <v>36</v>
      </c>
      <c r="Z30" s="15" t="s">
        <v>36</v>
      </c>
    </row>
    <row r="31" spans="1:26" ht="15.75" customHeight="1" x14ac:dyDescent="0.25">
      <c r="A31" s="15" t="s">
        <v>140</v>
      </c>
      <c r="B31" s="15" t="s">
        <v>141</v>
      </c>
      <c r="C31" s="15" t="s">
        <v>54</v>
      </c>
      <c r="D31" s="17">
        <v>0</v>
      </c>
      <c r="E31" s="18">
        <v>6088.5</v>
      </c>
      <c r="F31" s="15" t="s">
        <v>36</v>
      </c>
      <c r="G31" s="15" t="s">
        <v>36</v>
      </c>
      <c r="H31" s="15" t="s">
        <v>36</v>
      </c>
      <c r="I31" s="15" t="s">
        <v>36</v>
      </c>
      <c r="J31" s="15" t="s">
        <v>36</v>
      </c>
      <c r="K31" s="15" t="s">
        <v>36</v>
      </c>
      <c r="L31" s="15" t="s">
        <v>36</v>
      </c>
      <c r="M31" s="15" t="s">
        <v>36</v>
      </c>
      <c r="N31" s="15" t="s">
        <v>36</v>
      </c>
      <c r="O31" s="15" t="s">
        <v>37</v>
      </c>
      <c r="P31" s="18">
        <v>24</v>
      </c>
      <c r="Q31" s="15" t="s">
        <v>38</v>
      </c>
      <c r="R31" s="18">
        <v>146124</v>
      </c>
      <c r="S31" s="18">
        <v>0</v>
      </c>
      <c r="T31" s="18">
        <v>0</v>
      </c>
      <c r="U31" s="18">
        <v>0</v>
      </c>
      <c r="V31" s="15" t="s">
        <v>36</v>
      </c>
      <c r="W31" s="15" t="s">
        <v>36</v>
      </c>
      <c r="X31" s="15" t="s">
        <v>36</v>
      </c>
      <c r="Y31" s="15" t="s">
        <v>36</v>
      </c>
      <c r="Z31" s="15" t="s">
        <v>36</v>
      </c>
    </row>
    <row r="32" spans="1:26" ht="15.75" customHeight="1" x14ac:dyDescent="0.25">
      <c r="A32" s="15" t="s">
        <v>142</v>
      </c>
      <c r="B32" s="15" t="s">
        <v>143</v>
      </c>
      <c r="C32" s="15" t="s">
        <v>40</v>
      </c>
      <c r="D32" s="17">
        <v>0</v>
      </c>
      <c r="E32" s="18">
        <v>4972</v>
      </c>
      <c r="F32" s="15" t="s">
        <v>36</v>
      </c>
      <c r="G32" s="15" t="s">
        <v>36</v>
      </c>
      <c r="H32" s="15" t="s">
        <v>36</v>
      </c>
      <c r="I32" s="15" t="s">
        <v>36</v>
      </c>
      <c r="J32" s="15" t="s">
        <v>36</v>
      </c>
      <c r="K32" s="15" t="s">
        <v>36</v>
      </c>
      <c r="L32" s="15" t="s">
        <v>36</v>
      </c>
      <c r="M32" s="15" t="s">
        <v>36</v>
      </c>
      <c r="N32" s="15" t="s">
        <v>36</v>
      </c>
      <c r="O32" s="15" t="s">
        <v>144</v>
      </c>
      <c r="P32" s="18">
        <v>10</v>
      </c>
      <c r="Q32" s="15" t="s">
        <v>38</v>
      </c>
      <c r="R32" s="18">
        <v>49720</v>
      </c>
      <c r="S32" s="18">
        <v>0</v>
      </c>
      <c r="T32" s="18">
        <v>0</v>
      </c>
      <c r="U32" s="18">
        <v>0</v>
      </c>
      <c r="V32" s="15" t="s">
        <v>36</v>
      </c>
      <c r="W32" s="15" t="s">
        <v>36</v>
      </c>
      <c r="X32" s="15" t="s">
        <v>36</v>
      </c>
      <c r="Y32" s="15" t="s">
        <v>36</v>
      </c>
      <c r="Z32" s="15" t="s">
        <v>36</v>
      </c>
    </row>
    <row r="33" spans="1:26" ht="15.75" customHeight="1" x14ac:dyDescent="0.25">
      <c r="A33" s="15" t="s">
        <v>145</v>
      </c>
      <c r="B33" s="15" t="s">
        <v>146</v>
      </c>
      <c r="C33" s="15" t="s">
        <v>40</v>
      </c>
      <c r="D33" s="17">
        <v>0</v>
      </c>
      <c r="E33" s="18">
        <v>4551.25</v>
      </c>
      <c r="F33" s="15" t="s">
        <v>36</v>
      </c>
      <c r="G33" s="15" t="s">
        <v>36</v>
      </c>
      <c r="H33" s="15" t="s">
        <v>36</v>
      </c>
      <c r="I33" s="15" t="s">
        <v>36</v>
      </c>
      <c r="J33" s="15" t="s">
        <v>36</v>
      </c>
      <c r="K33" s="15" t="s">
        <v>36</v>
      </c>
      <c r="L33" s="15" t="s">
        <v>36</v>
      </c>
      <c r="M33" s="15" t="s">
        <v>36</v>
      </c>
      <c r="N33" s="15" t="s">
        <v>36</v>
      </c>
      <c r="O33" s="15" t="s">
        <v>37</v>
      </c>
      <c r="P33" s="18">
        <v>100</v>
      </c>
      <c r="Q33" s="15" t="s">
        <v>38</v>
      </c>
      <c r="R33" s="18">
        <v>455125</v>
      </c>
      <c r="S33" s="18">
        <v>0</v>
      </c>
      <c r="T33" s="18">
        <v>0</v>
      </c>
      <c r="U33" s="18">
        <v>0</v>
      </c>
      <c r="V33" s="15" t="s">
        <v>36</v>
      </c>
      <c r="W33" s="15" t="s">
        <v>36</v>
      </c>
      <c r="X33" s="15" t="s">
        <v>36</v>
      </c>
      <c r="Y33" s="15" t="s">
        <v>36</v>
      </c>
      <c r="Z33" s="15" t="s">
        <v>36</v>
      </c>
    </row>
    <row r="34" spans="1:26" ht="15.75" customHeight="1" x14ac:dyDescent="0.25">
      <c r="A34" s="15" t="s">
        <v>147</v>
      </c>
      <c r="B34" s="15" t="s">
        <v>148</v>
      </c>
      <c r="C34" s="15" t="s">
        <v>40</v>
      </c>
      <c r="D34" s="17">
        <v>0</v>
      </c>
      <c r="E34" s="18">
        <v>33183.15</v>
      </c>
      <c r="F34" s="15" t="s">
        <v>36</v>
      </c>
      <c r="G34" s="15" t="s">
        <v>36</v>
      </c>
      <c r="H34" s="15" t="s">
        <v>36</v>
      </c>
      <c r="I34" s="15" t="s">
        <v>36</v>
      </c>
      <c r="J34" s="15" t="s">
        <v>36</v>
      </c>
      <c r="K34" s="15" t="s">
        <v>36</v>
      </c>
      <c r="L34" s="15" t="s">
        <v>36</v>
      </c>
      <c r="M34" s="15" t="s">
        <v>36</v>
      </c>
      <c r="N34" s="15" t="s">
        <v>36</v>
      </c>
      <c r="O34" s="15" t="s">
        <v>37</v>
      </c>
      <c r="P34" s="18">
        <v>20</v>
      </c>
      <c r="Q34" s="15" t="s">
        <v>38</v>
      </c>
      <c r="R34" s="18">
        <v>663663</v>
      </c>
      <c r="S34" s="18">
        <v>0</v>
      </c>
      <c r="T34" s="18">
        <v>0</v>
      </c>
      <c r="U34" s="18">
        <v>0</v>
      </c>
      <c r="V34" s="15" t="s">
        <v>36</v>
      </c>
      <c r="W34" s="15" t="s">
        <v>36</v>
      </c>
      <c r="X34" s="15" t="s">
        <v>36</v>
      </c>
      <c r="Y34" s="15" t="s">
        <v>36</v>
      </c>
      <c r="Z34" s="15" t="s">
        <v>36</v>
      </c>
    </row>
    <row r="35" spans="1:26" ht="15.75" customHeight="1" x14ac:dyDescent="0.25">
      <c r="A35" s="15" t="s">
        <v>149</v>
      </c>
      <c r="B35" s="15" t="s">
        <v>150</v>
      </c>
      <c r="C35" s="15" t="s">
        <v>57</v>
      </c>
      <c r="D35" s="17">
        <v>0</v>
      </c>
      <c r="E35" s="18">
        <v>15537.4776</v>
      </c>
      <c r="F35" s="15" t="s">
        <v>36</v>
      </c>
      <c r="G35" s="15" t="s">
        <v>36</v>
      </c>
      <c r="H35" s="15" t="s">
        <v>36</v>
      </c>
      <c r="I35" s="15" t="s">
        <v>36</v>
      </c>
      <c r="J35" s="15" t="s">
        <v>36</v>
      </c>
      <c r="K35" s="15" t="s">
        <v>36</v>
      </c>
      <c r="L35" s="15" t="s">
        <v>36</v>
      </c>
      <c r="M35" s="15" t="s">
        <v>36</v>
      </c>
      <c r="N35" s="15" t="s">
        <v>36</v>
      </c>
      <c r="O35" s="15" t="s">
        <v>151</v>
      </c>
      <c r="P35" s="18">
        <v>12</v>
      </c>
      <c r="Q35" s="15" t="s">
        <v>38</v>
      </c>
      <c r="R35" s="18">
        <v>186449.73060000001</v>
      </c>
      <c r="S35" s="18">
        <v>0</v>
      </c>
      <c r="T35" s="18">
        <v>0</v>
      </c>
      <c r="U35" s="18">
        <v>0</v>
      </c>
      <c r="V35" s="15" t="s">
        <v>36</v>
      </c>
      <c r="W35" s="15" t="s">
        <v>36</v>
      </c>
      <c r="X35" s="15" t="s">
        <v>36</v>
      </c>
      <c r="Y35" s="15" t="s">
        <v>36</v>
      </c>
      <c r="Z35" s="15" t="s">
        <v>36</v>
      </c>
    </row>
    <row r="36" spans="1:26" ht="15.75" customHeight="1" x14ac:dyDescent="0.25">
      <c r="A36" s="15" t="s">
        <v>81</v>
      </c>
      <c r="B36" s="15" t="s">
        <v>82</v>
      </c>
      <c r="C36" s="15" t="s">
        <v>54</v>
      </c>
      <c r="D36" s="17">
        <v>0</v>
      </c>
      <c r="E36" s="18">
        <v>550</v>
      </c>
      <c r="F36" s="15" t="s">
        <v>36</v>
      </c>
      <c r="G36" s="15" t="s">
        <v>36</v>
      </c>
      <c r="H36" s="15" t="s">
        <v>36</v>
      </c>
      <c r="I36" s="15" t="s">
        <v>36</v>
      </c>
      <c r="J36" s="15" t="s">
        <v>36</v>
      </c>
      <c r="K36" s="15" t="s">
        <v>36</v>
      </c>
      <c r="L36" s="15" t="s">
        <v>36</v>
      </c>
      <c r="M36" s="15" t="s">
        <v>36</v>
      </c>
      <c r="N36" s="15" t="s">
        <v>36</v>
      </c>
      <c r="O36" s="15" t="s">
        <v>40</v>
      </c>
      <c r="P36" s="18">
        <v>62</v>
      </c>
      <c r="Q36" s="15" t="s">
        <v>38</v>
      </c>
      <c r="R36" s="18">
        <v>34100</v>
      </c>
      <c r="S36" s="18">
        <v>0</v>
      </c>
      <c r="T36" s="18">
        <v>0</v>
      </c>
      <c r="U36" s="18">
        <v>0</v>
      </c>
      <c r="V36" s="15" t="s">
        <v>36</v>
      </c>
      <c r="W36" s="15" t="s">
        <v>36</v>
      </c>
      <c r="X36" s="15" t="s">
        <v>36</v>
      </c>
      <c r="Y36" s="15" t="s">
        <v>36</v>
      </c>
      <c r="Z36" s="15" t="s">
        <v>36</v>
      </c>
    </row>
    <row r="37" spans="1:26" ht="15.75" customHeight="1" x14ac:dyDescent="0.25">
      <c r="A37" s="15" t="s">
        <v>152</v>
      </c>
      <c r="B37" s="15" t="s">
        <v>153</v>
      </c>
      <c r="C37" s="15" t="s">
        <v>54</v>
      </c>
      <c r="D37" s="17">
        <v>0</v>
      </c>
      <c r="E37" s="18">
        <v>631.48099999999999</v>
      </c>
      <c r="F37" s="15" t="s">
        <v>36</v>
      </c>
      <c r="G37" s="15" t="s">
        <v>36</v>
      </c>
      <c r="H37" s="15" t="s">
        <v>36</v>
      </c>
      <c r="I37" s="15" t="s">
        <v>36</v>
      </c>
      <c r="J37" s="15" t="s">
        <v>36</v>
      </c>
      <c r="K37" s="15" t="s">
        <v>36</v>
      </c>
      <c r="L37" s="15" t="s">
        <v>36</v>
      </c>
      <c r="M37" s="15" t="s">
        <v>36</v>
      </c>
      <c r="N37" s="15" t="s">
        <v>36</v>
      </c>
      <c r="O37" s="15" t="s">
        <v>40</v>
      </c>
      <c r="P37" s="18">
        <v>27</v>
      </c>
      <c r="Q37" s="15" t="s">
        <v>38</v>
      </c>
      <c r="R37" s="18">
        <v>17049.985700000001</v>
      </c>
      <c r="S37" s="18">
        <v>0</v>
      </c>
      <c r="T37" s="18">
        <v>0</v>
      </c>
      <c r="U37" s="18">
        <v>0</v>
      </c>
      <c r="V37" s="15" t="s">
        <v>36</v>
      </c>
      <c r="W37" s="15" t="s">
        <v>36</v>
      </c>
      <c r="X37" s="15" t="s">
        <v>36</v>
      </c>
      <c r="Y37" s="15" t="s">
        <v>36</v>
      </c>
      <c r="Z37" s="15" t="s">
        <v>36</v>
      </c>
    </row>
    <row r="38" spans="1:26" ht="15.75" customHeight="1" x14ac:dyDescent="0.25">
      <c r="A38" s="15" t="s">
        <v>154</v>
      </c>
      <c r="B38" s="15" t="s">
        <v>155</v>
      </c>
      <c r="C38" s="15" t="s">
        <v>144</v>
      </c>
      <c r="D38" s="17">
        <v>0</v>
      </c>
      <c r="E38" s="18">
        <v>17600</v>
      </c>
      <c r="F38" s="15" t="s">
        <v>36</v>
      </c>
      <c r="G38" s="15" t="s">
        <v>36</v>
      </c>
      <c r="H38" s="15" t="s">
        <v>36</v>
      </c>
      <c r="I38" s="15" t="s">
        <v>36</v>
      </c>
      <c r="J38" s="15" t="s">
        <v>36</v>
      </c>
      <c r="K38" s="15" t="s">
        <v>36</v>
      </c>
      <c r="L38" s="15" t="s">
        <v>36</v>
      </c>
      <c r="M38" s="15" t="s">
        <v>36</v>
      </c>
      <c r="N38" s="15" t="s">
        <v>36</v>
      </c>
      <c r="O38" s="15" t="s">
        <v>36</v>
      </c>
      <c r="P38" s="15" t="s">
        <v>36</v>
      </c>
      <c r="Q38" s="15" t="s">
        <v>36</v>
      </c>
      <c r="R38" s="15" t="s">
        <v>36</v>
      </c>
      <c r="S38" s="15" t="s">
        <v>36</v>
      </c>
      <c r="T38" s="15" t="s">
        <v>36</v>
      </c>
      <c r="U38" s="15" t="s">
        <v>36</v>
      </c>
      <c r="V38" s="15" t="s">
        <v>36</v>
      </c>
      <c r="W38" s="15" t="s">
        <v>36</v>
      </c>
      <c r="X38" s="15" t="s">
        <v>36</v>
      </c>
      <c r="Y38" s="15" t="s">
        <v>36</v>
      </c>
      <c r="Z38" s="15" t="s">
        <v>36</v>
      </c>
    </row>
    <row r="39" spans="1:26" ht="15.75" customHeight="1" x14ac:dyDescent="0.25">
      <c r="A39" s="15" t="s">
        <v>156</v>
      </c>
      <c r="B39" s="15" t="s">
        <v>157</v>
      </c>
      <c r="C39" s="15" t="s">
        <v>43</v>
      </c>
      <c r="D39" s="17">
        <v>0</v>
      </c>
      <c r="E39" s="18">
        <v>15707.993700000001</v>
      </c>
      <c r="F39" s="15" t="s">
        <v>36</v>
      </c>
      <c r="G39" s="15" t="s">
        <v>36</v>
      </c>
      <c r="H39" s="15" t="s">
        <v>36</v>
      </c>
      <c r="I39" s="15" t="s">
        <v>36</v>
      </c>
      <c r="J39" s="15" t="s">
        <v>36</v>
      </c>
      <c r="K39" s="15" t="s">
        <v>36</v>
      </c>
      <c r="L39" s="15" t="s">
        <v>36</v>
      </c>
      <c r="M39" s="15" t="s">
        <v>36</v>
      </c>
      <c r="N39" s="15" t="s">
        <v>36</v>
      </c>
      <c r="O39" s="15" t="s">
        <v>37</v>
      </c>
      <c r="P39" s="18">
        <v>10</v>
      </c>
      <c r="Q39" s="15" t="s">
        <v>38</v>
      </c>
      <c r="R39" s="18">
        <v>157079.93710000001</v>
      </c>
      <c r="S39" s="18">
        <v>0</v>
      </c>
      <c r="T39" s="18">
        <v>0</v>
      </c>
      <c r="U39" s="18">
        <v>0</v>
      </c>
      <c r="V39" s="15" t="s">
        <v>36</v>
      </c>
      <c r="W39" s="15" t="s">
        <v>36</v>
      </c>
      <c r="X39" s="15" t="s">
        <v>36</v>
      </c>
      <c r="Y39" s="15" t="s">
        <v>36</v>
      </c>
      <c r="Z39" s="15" t="s">
        <v>36</v>
      </c>
    </row>
    <row r="40" spans="1:26" ht="15.75" customHeight="1" x14ac:dyDescent="0.25">
      <c r="A40" s="15" t="s">
        <v>158</v>
      </c>
      <c r="B40" s="15" t="s">
        <v>159</v>
      </c>
      <c r="C40" s="15" t="s">
        <v>160</v>
      </c>
      <c r="D40" s="17">
        <v>0</v>
      </c>
      <c r="E40" s="18">
        <v>56100</v>
      </c>
      <c r="F40" s="15" t="s">
        <v>36</v>
      </c>
      <c r="G40" s="15" t="s">
        <v>36</v>
      </c>
      <c r="H40" s="15" t="s">
        <v>36</v>
      </c>
      <c r="I40" s="15" t="s">
        <v>36</v>
      </c>
      <c r="J40" s="15" t="s">
        <v>36</v>
      </c>
      <c r="K40" s="15" t="s">
        <v>36</v>
      </c>
      <c r="L40" s="15" t="s">
        <v>36</v>
      </c>
      <c r="M40" s="15" t="s">
        <v>36</v>
      </c>
      <c r="N40" s="15" t="s">
        <v>36</v>
      </c>
      <c r="O40" s="15" t="s">
        <v>36</v>
      </c>
      <c r="P40" s="15" t="s">
        <v>36</v>
      </c>
      <c r="Q40" s="15" t="s">
        <v>36</v>
      </c>
      <c r="R40" s="15" t="s">
        <v>36</v>
      </c>
      <c r="S40" s="15" t="s">
        <v>36</v>
      </c>
      <c r="T40" s="15" t="s">
        <v>36</v>
      </c>
      <c r="U40" s="15" t="s">
        <v>36</v>
      </c>
      <c r="V40" s="15" t="s">
        <v>36</v>
      </c>
      <c r="W40" s="15" t="s">
        <v>36</v>
      </c>
      <c r="X40" s="15" t="s">
        <v>36</v>
      </c>
      <c r="Y40" s="15" t="s">
        <v>36</v>
      </c>
      <c r="Z40" s="15" t="s">
        <v>36</v>
      </c>
    </row>
    <row r="41" spans="1:26" ht="15.75" customHeight="1" x14ac:dyDescent="0.25">
      <c r="A41" s="15" t="s">
        <v>161</v>
      </c>
      <c r="B41" s="15" t="s">
        <v>162</v>
      </c>
      <c r="C41" s="15" t="s">
        <v>144</v>
      </c>
      <c r="D41" s="17">
        <v>0</v>
      </c>
      <c r="E41" s="18">
        <v>47300</v>
      </c>
      <c r="F41" s="15" t="s">
        <v>36</v>
      </c>
      <c r="G41" s="15" t="s">
        <v>36</v>
      </c>
      <c r="H41" s="15" t="s">
        <v>36</v>
      </c>
      <c r="I41" s="15" t="s">
        <v>36</v>
      </c>
      <c r="J41" s="15" t="s">
        <v>36</v>
      </c>
      <c r="K41" s="15" t="s">
        <v>36</v>
      </c>
      <c r="L41" s="15" t="s">
        <v>36</v>
      </c>
      <c r="M41" s="15" t="s">
        <v>36</v>
      </c>
      <c r="N41" s="15" t="s">
        <v>36</v>
      </c>
      <c r="O41" s="15" t="s">
        <v>36</v>
      </c>
      <c r="P41" s="15" t="s">
        <v>36</v>
      </c>
      <c r="Q41" s="15" t="s">
        <v>36</v>
      </c>
      <c r="R41" s="15" t="s">
        <v>36</v>
      </c>
      <c r="S41" s="15" t="s">
        <v>36</v>
      </c>
      <c r="T41" s="15" t="s">
        <v>36</v>
      </c>
      <c r="U41" s="15" t="s">
        <v>36</v>
      </c>
      <c r="V41" s="15" t="s">
        <v>36</v>
      </c>
      <c r="W41" s="15" t="s">
        <v>36</v>
      </c>
      <c r="X41" s="15" t="s">
        <v>36</v>
      </c>
      <c r="Y41" s="15" t="s">
        <v>36</v>
      </c>
      <c r="Z41" s="15" t="s">
        <v>36</v>
      </c>
    </row>
    <row r="42" spans="1:26" ht="15.75" customHeight="1" x14ac:dyDescent="0.25">
      <c r="A42" s="15" t="s">
        <v>163</v>
      </c>
      <c r="B42" s="15" t="s">
        <v>164</v>
      </c>
      <c r="C42" s="15" t="s">
        <v>160</v>
      </c>
      <c r="D42" s="17">
        <v>0</v>
      </c>
      <c r="E42" s="18">
        <v>9166.6715999999997</v>
      </c>
      <c r="F42" s="15" t="s">
        <v>36</v>
      </c>
      <c r="G42" s="15" t="s">
        <v>36</v>
      </c>
      <c r="H42" s="15" t="s">
        <v>36</v>
      </c>
      <c r="I42" s="15" t="s">
        <v>36</v>
      </c>
      <c r="J42" s="15" t="s">
        <v>36</v>
      </c>
      <c r="K42" s="15" t="s">
        <v>36</v>
      </c>
      <c r="L42" s="15" t="s">
        <v>36</v>
      </c>
      <c r="M42" s="15" t="s">
        <v>36</v>
      </c>
      <c r="N42" s="15" t="s">
        <v>36</v>
      </c>
      <c r="O42" s="15" t="s">
        <v>37</v>
      </c>
      <c r="P42" s="18">
        <v>24</v>
      </c>
      <c r="Q42" s="15" t="s">
        <v>38</v>
      </c>
      <c r="R42" s="18">
        <v>220000.1189</v>
      </c>
      <c r="S42" s="18">
        <v>0</v>
      </c>
      <c r="T42" s="18">
        <v>0</v>
      </c>
      <c r="U42" s="18">
        <v>0</v>
      </c>
      <c r="V42" s="15" t="s">
        <v>36</v>
      </c>
      <c r="W42" s="15" t="s">
        <v>36</v>
      </c>
      <c r="X42" s="15" t="s">
        <v>36</v>
      </c>
      <c r="Y42" s="15" t="s">
        <v>36</v>
      </c>
      <c r="Z42" s="15" t="s">
        <v>36</v>
      </c>
    </row>
    <row r="43" spans="1:26" ht="15.75" customHeight="1" x14ac:dyDescent="0.25">
      <c r="A43" s="15" t="s">
        <v>165</v>
      </c>
      <c r="B43" s="15" t="s">
        <v>166</v>
      </c>
      <c r="C43" s="15" t="s">
        <v>54</v>
      </c>
      <c r="D43" s="17">
        <v>0</v>
      </c>
      <c r="E43" s="18">
        <v>9487.5</v>
      </c>
      <c r="F43" s="15" t="s">
        <v>36</v>
      </c>
      <c r="G43" s="15" t="s">
        <v>36</v>
      </c>
      <c r="H43" s="15" t="s">
        <v>36</v>
      </c>
      <c r="I43" s="15" t="s">
        <v>36</v>
      </c>
      <c r="J43" s="15" t="s">
        <v>36</v>
      </c>
      <c r="K43" s="15" t="s">
        <v>36</v>
      </c>
      <c r="L43" s="15" t="s">
        <v>36</v>
      </c>
      <c r="M43" s="15" t="s">
        <v>36</v>
      </c>
      <c r="N43" s="15" t="s">
        <v>36</v>
      </c>
      <c r="O43" s="15" t="s">
        <v>37</v>
      </c>
      <c r="P43" s="18">
        <v>24</v>
      </c>
      <c r="Q43" s="15" t="s">
        <v>38</v>
      </c>
      <c r="R43" s="18">
        <v>227700</v>
      </c>
      <c r="S43" s="18">
        <v>0</v>
      </c>
      <c r="T43" s="18">
        <v>0</v>
      </c>
      <c r="U43" s="18">
        <v>0</v>
      </c>
      <c r="V43" s="15" t="s">
        <v>36</v>
      </c>
      <c r="W43" s="15" t="s">
        <v>36</v>
      </c>
      <c r="X43" s="15" t="s">
        <v>36</v>
      </c>
      <c r="Y43" s="15" t="s">
        <v>36</v>
      </c>
      <c r="Z43" s="15" t="s">
        <v>36</v>
      </c>
    </row>
    <row r="44" spans="1:26" ht="15.75" customHeight="1" x14ac:dyDescent="0.25">
      <c r="A44" s="15" t="s">
        <v>95</v>
      </c>
      <c r="B44" s="15" t="s">
        <v>96</v>
      </c>
      <c r="C44" s="15" t="s">
        <v>97</v>
      </c>
      <c r="D44" s="17">
        <v>0</v>
      </c>
      <c r="E44" s="18">
        <v>4285.4429</v>
      </c>
      <c r="F44" s="15" t="s">
        <v>36</v>
      </c>
      <c r="G44" s="15" t="s">
        <v>36</v>
      </c>
      <c r="H44" s="15" t="s">
        <v>36</v>
      </c>
      <c r="I44" s="15" t="s">
        <v>36</v>
      </c>
      <c r="J44" s="15" t="s">
        <v>36</v>
      </c>
      <c r="K44" s="15" t="s">
        <v>36</v>
      </c>
      <c r="L44" s="15" t="s">
        <v>36</v>
      </c>
      <c r="M44" s="15" t="s">
        <v>36</v>
      </c>
      <c r="N44" s="15" t="s">
        <v>36</v>
      </c>
      <c r="O44" s="15" t="s">
        <v>37</v>
      </c>
      <c r="P44" s="18">
        <v>24</v>
      </c>
      <c r="Q44" s="15" t="s">
        <v>38</v>
      </c>
      <c r="R44" s="18">
        <v>102850.6286</v>
      </c>
      <c r="S44" s="18">
        <v>0</v>
      </c>
      <c r="T44" s="18">
        <v>0</v>
      </c>
      <c r="U44" s="18">
        <v>0</v>
      </c>
      <c r="V44" s="15" t="s">
        <v>36</v>
      </c>
      <c r="W44" s="15" t="s">
        <v>36</v>
      </c>
      <c r="X44" s="15" t="s">
        <v>36</v>
      </c>
      <c r="Y44" s="15" t="s">
        <v>36</v>
      </c>
      <c r="Z44" s="15" t="s">
        <v>36</v>
      </c>
    </row>
    <row r="45" spans="1:26" ht="15.75" customHeight="1" x14ac:dyDescent="0.25">
      <c r="A45" s="15" t="s">
        <v>106</v>
      </c>
      <c r="B45" s="15" t="s">
        <v>107</v>
      </c>
      <c r="C45" s="15" t="s">
        <v>108</v>
      </c>
      <c r="D45" s="17">
        <v>0</v>
      </c>
      <c r="E45" s="18">
        <v>7636.53</v>
      </c>
      <c r="F45" s="15" t="s">
        <v>36</v>
      </c>
      <c r="G45" s="15" t="s">
        <v>36</v>
      </c>
      <c r="H45" s="15" t="s">
        <v>36</v>
      </c>
      <c r="I45" s="15" t="s">
        <v>36</v>
      </c>
      <c r="J45" s="15" t="s">
        <v>36</v>
      </c>
      <c r="K45" s="15" t="s">
        <v>36</v>
      </c>
      <c r="L45" s="15" t="s">
        <v>36</v>
      </c>
      <c r="M45" s="15" t="s">
        <v>36</v>
      </c>
      <c r="N45" s="15" t="s">
        <v>36</v>
      </c>
      <c r="O45" s="15" t="s">
        <v>37</v>
      </c>
      <c r="P45" s="18">
        <v>20</v>
      </c>
      <c r="Q45" s="15" t="s">
        <v>38</v>
      </c>
      <c r="R45" s="18">
        <v>152730.6</v>
      </c>
      <c r="S45" s="18">
        <v>0</v>
      </c>
      <c r="T45" s="18">
        <v>0</v>
      </c>
      <c r="U45" s="18">
        <v>0</v>
      </c>
      <c r="V45" s="15" t="s">
        <v>36</v>
      </c>
      <c r="W45" s="15" t="s">
        <v>36</v>
      </c>
      <c r="X45" s="15" t="s">
        <v>36</v>
      </c>
      <c r="Y45" s="15" t="s">
        <v>36</v>
      </c>
      <c r="Z45" s="15" t="s">
        <v>36</v>
      </c>
    </row>
    <row r="46" spans="1:26" ht="15.75" customHeight="1" x14ac:dyDescent="0.25">
      <c r="A46" s="15" t="s">
        <v>167</v>
      </c>
      <c r="B46" s="15" t="s">
        <v>168</v>
      </c>
      <c r="C46" s="15" t="s">
        <v>57</v>
      </c>
      <c r="D46" s="17">
        <v>0</v>
      </c>
      <c r="E46" s="18">
        <v>28769.2209</v>
      </c>
      <c r="F46" s="15" t="s">
        <v>36</v>
      </c>
      <c r="G46" s="15" t="s">
        <v>36</v>
      </c>
      <c r="H46" s="15" t="s">
        <v>36</v>
      </c>
      <c r="I46" s="15" t="s">
        <v>36</v>
      </c>
      <c r="J46" s="15" t="s">
        <v>36</v>
      </c>
      <c r="K46" s="15" t="s">
        <v>36</v>
      </c>
      <c r="L46" s="15" t="s">
        <v>36</v>
      </c>
      <c r="M46" s="15" t="s">
        <v>36</v>
      </c>
      <c r="N46" s="15" t="s">
        <v>36</v>
      </c>
      <c r="O46" s="15" t="s">
        <v>37</v>
      </c>
      <c r="P46" s="18">
        <v>12</v>
      </c>
      <c r="Q46" s="15" t="s">
        <v>38</v>
      </c>
      <c r="R46" s="18">
        <v>345230.65120000002</v>
      </c>
      <c r="S46" s="18">
        <v>0</v>
      </c>
      <c r="T46" s="18">
        <v>0</v>
      </c>
      <c r="U46" s="18">
        <v>0</v>
      </c>
      <c r="V46" s="15" t="s">
        <v>36</v>
      </c>
      <c r="W46" s="15" t="s">
        <v>36</v>
      </c>
      <c r="X46" s="15" t="s">
        <v>36</v>
      </c>
      <c r="Y46" s="15" t="s">
        <v>36</v>
      </c>
      <c r="Z46" s="15" t="s">
        <v>36</v>
      </c>
    </row>
    <row r="47" spans="1:26" ht="15.75" customHeight="1" x14ac:dyDescent="0.25">
      <c r="A47" s="15" t="s">
        <v>111</v>
      </c>
      <c r="B47" s="15" t="s">
        <v>112</v>
      </c>
      <c r="C47" s="15" t="s">
        <v>54</v>
      </c>
      <c r="D47" s="17">
        <v>0</v>
      </c>
      <c r="E47" s="18">
        <v>1375</v>
      </c>
      <c r="F47" s="15" t="s">
        <v>36</v>
      </c>
      <c r="G47" s="15" t="s">
        <v>36</v>
      </c>
      <c r="H47" s="15" t="s">
        <v>36</v>
      </c>
      <c r="I47" s="15" t="s">
        <v>36</v>
      </c>
      <c r="J47" s="15" t="s">
        <v>36</v>
      </c>
      <c r="K47" s="15" t="s">
        <v>36</v>
      </c>
      <c r="L47" s="15" t="s">
        <v>36</v>
      </c>
      <c r="M47" s="15" t="s">
        <v>36</v>
      </c>
      <c r="N47" s="15" t="s">
        <v>36</v>
      </c>
      <c r="O47" s="15" t="s">
        <v>40</v>
      </c>
      <c r="P47" s="18">
        <v>24</v>
      </c>
      <c r="Q47" s="15" t="s">
        <v>38</v>
      </c>
      <c r="R47" s="18">
        <v>33000</v>
      </c>
      <c r="S47" s="18">
        <v>0</v>
      </c>
      <c r="T47" s="18">
        <v>0</v>
      </c>
      <c r="U47" s="18">
        <v>0</v>
      </c>
      <c r="V47" s="15" t="s">
        <v>36</v>
      </c>
      <c r="W47" s="15" t="s">
        <v>36</v>
      </c>
      <c r="X47" s="15" t="s">
        <v>36</v>
      </c>
      <c r="Y47" s="15" t="s">
        <v>36</v>
      </c>
      <c r="Z47" s="15" t="s">
        <v>36</v>
      </c>
    </row>
    <row r="48" spans="1:26" ht="15.75" customHeight="1" x14ac:dyDescent="0.25">
      <c r="A48" s="15" t="s">
        <v>169</v>
      </c>
      <c r="B48" s="15" t="s">
        <v>170</v>
      </c>
      <c r="C48" s="15" t="s">
        <v>43</v>
      </c>
      <c r="D48" s="17">
        <v>0</v>
      </c>
      <c r="E48" s="18">
        <v>39600</v>
      </c>
      <c r="F48" s="15" t="s">
        <v>36</v>
      </c>
      <c r="G48" s="15" t="s">
        <v>36</v>
      </c>
      <c r="H48" s="15" t="s">
        <v>36</v>
      </c>
      <c r="I48" s="15" t="s">
        <v>36</v>
      </c>
      <c r="J48" s="15" t="s">
        <v>36</v>
      </c>
      <c r="K48" s="15" t="s">
        <v>36</v>
      </c>
      <c r="L48" s="15" t="s">
        <v>36</v>
      </c>
      <c r="M48" s="15" t="s">
        <v>36</v>
      </c>
      <c r="N48" s="15" t="s">
        <v>36</v>
      </c>
      <c r="O48" s="15" t="s">
        <v>37</v>
      </c>
      <c r="P48" s="18">
        <v>6</v>
      </c>
      <c r="Q48" s="15" t="s">
        <v>38</v>
      </c>
      <c r="R48" s="18">
        <v>237600</v>
      </c>
      <c r="S48" s="18">
        <v>0</v>
      </c>
      <c r="T48" s="18">
        <v>0</v>
      </c>
      <c r="U48" s="18">
        <v>0</v>
      </c>
      <c r="V48" s="15" t="s">
        <v>36</v>
      </c>
      <c r="W48" s="15" t="s">
        <v>36</v>
      </c>
      <c r="X48" s="15" t="s">
        <v>36</v>
      </c>
      <c r="Y48" s="15" t="s">
        <v>36</v>
      </c>
      <c r="Z48" s="15" t="s">
        <v>36</v>
      </c>
    </row>
    <row r="49" spans="1:26" ht="15.75" customHeight="1" x14ac:dyDescent="0.25">
      <c r="A49" s="15" t="s">
        <v>115</v>
      </c>
      <c r="B49" s="15" t="s">
        <v>116</v>
      </c>
      <c r="C49" s="15" t="s">
        <v>40</v>
      </c>
      <c r="D49" s="17">
        <v>0</v>
      </c>
      <c r="E49" s="18">
        <v>5500</v>
      </c>
      <c r="F49" s="15" t="s">
        <v>36</v>
      </c>
      <c r="G49" s="15" t="s">
        <v>36</v>
      </c>
      <c r="H49" s="15" t="s">
        <v>36</v>
      </c>
      <c r="I49" s="15" t="s">
        <v>36</v>
      </c>
      <c r="J49" s="15" t="s">
        <v>36</v>
      </c>
      <c r="K49" s="15" t="s">
        <v>36</v>
      </c>
      <c r="L49" s="15" t="s">
        <v>36</v>
      </c>
      <c r="M49" s="15" t="s">
        <v>36</v>
      </c>
      <c r="N49" s="15" t="s">
        <v>36</v>
      </c>
      <c r="O49" s="15" t="s">
        <v>144</v>
      </c>
      <c r="P49" s="18">
        <v>24</v>
      </c>
      <c r="Q49" s="15" t="s">
        <v>38</v>
      </c>
      <c r="R49" s="18">
        <v>132000</v>
      </c>
      <c r="S49" s="18">
        <v>0</v>
      </c>
      <c r="T49" s="18">
        <v>0</v>
      </c>
      <c r="U49" s="18">
        <v>0</v>
      </c>
      <c r="V49" s="15" t="s">
        <v>36</v>
      </c>
      <c r="W49" s="15" t="s">
        <v>36</v>
      </c>
      <c r="X49" s="15" t="s">
        <v>36</v>
      </c>
      <c r="Y49" s="15" t="s">
        <v>36</v>
      </c>
      <c r="Z49" s="15" t="s">
        <v>36</v>
      </c>
    </row>
    <row r="50" spans="1:26" ht="15.75" customHeight="1" x14ac:dyDescent="0.25">
      <c r="A50" s="15" t="s">
        <v>121</v>
      </c>
      <c r="B50" s="15" t="s">
        <v>122</v>
      </c>
      <c r="C50" s="15" t="s">
        <v>51</v>
      </c>
      <c r="D50" s="17">
        <v>0</v>
      </c>
      <c r="E50" s="18">
        <v>3941.6655999999998</v>
      </c>
      <c r="F50" s="15" t="s">
        <v>36</v>
      </c>
      <c r="G50" s="15" t="s">
        <v>36</v>
      </c>
      <c r="H50" s="15" t="s">
        <v>36</v>
      </c>
      <c r="I50" s="15" t="s">
        <v>36</v>
      </c>
      <c r="J50" s="15" t="s">
        <v>36</v>
      </c>
      <c r="K50" s="15" t="s">
        <v>36</v>
      </c>
      <c r="L50" s="15" t="s">
        <v>36</v>
      </c>
      <c r="M50" s="15" t="s">
        <v>36</v>
      </c>
      <c r="N50" s="15" t="s">
        <v>36</v>
      </c>
      <c r="O50" s="15" t="s">
        <v>37</v>
      </c>
      <c r="P50" s="18">
        <v>48</v>
      </c>
      <c r="Q50" s="15" t="s">
        <v>38</v>
      </c>
      <c r="R50" s="18">
        <v>189199.95</v>
      </c>
      <c r="S50" s="18">
        <v>0</v>
      </c>
      <c r="T50" s="18">
        <v>0</v>
      </c>
      <c r="U50" s="18">
        <v>0</v>
      </c>
      <c r="V50" s="15" t="s">
        <v>36</v>
      </c>
      <c r="W50" s="15" t="s">
        <v>36</v>
      </c>
      <c r="X50" s="15" t="s">
        <v>36</v>
      </c>
      <c r="Y50" s="15" t="s">
        <v>36</v>
      </c>
      <c r="Z50" s="15" t="s">
        <v>36</v>
      </c>
    </row>
    <row r="51" spans="1:26" ht="15.75" customHeight="1" x14ac:dyDescent="0.25">
      <c r="A51" s="15" t="s">
        <v>125</v>
      </c>
      <c r="B51" s="15" t="s">
        <v>126</v>
      </c>
      <c r="C51" s="15" t="s">
        <v>60</v>
      </c>
      <c r="D51" s="17">
        <v>0</v>
      </c>
      <c r="E51" s="18">
        <v>828.98479999999995</v>
      </c>
      <c r="F51" s="15" t="s">
        <v>36</v>
      </c>
      <c r="G51" s="15" t="s">
        <v>36</v>
      </c>
      <c r="H51" s="15" t="s">
        <v>36</v>
      </c>
      <c r="I51" s="15" t="s">
        <v>36</v>
      </c>
      <c r="J51" s="15" t="s">
        <v>36</v>
      </c>
      <c r="K51" s="15" t="s">
        <v>36</v>
      </c>
      <c r="L51" s="15" t="s">
        <v>36</v>
      </c>
      <c r="M51" s="15" t="s">
        <v>36</v>
      </c>
      <c r="N51" s="15" t="s">
        <v>36</v>
      </c>
      <c r="O51" s="15" t="s">
        <v>40</v>
      </c>
      <c r="P51" s="18">
        <v>69</v>
      </c>
      <c r="Q51" s="15" t="s">
        <v>38</v>
      </c>
      <c r="R51" s="18">
        <v>57199.950700000001</v>
      </c>
      <c r="S51" s="18">
        <v>0</v>
      </c>
      <c r="T51" s="18">
        <v>0</v>
      </c>
      <c r="U51" s="18">
        <v>0</v>
      </c>
      <c r="V51" s="15" t="s">
        <v>36</v>
      </c>
      <c r="W51" s="15" t="s">
        <v>36</v>
      </c>
      <c r="X51" s="15" t="s">
        <v>36</v>
      </c>
      <c r="Y51" s="15" t="s">
        <v>36</v>
      </c>
      <c r="Z51" s="15" t="s">
        <v>36</v>
      </c>
    </row>
    <row r="52" spans="1:26" ht="15.75" customHeight="1" x14ac:dyDescent="0.25">
      <c r="A52" s="15" t="s">
        <v>171</v>
      </c>
      <c r="B52" s="15" t="s">
        <v>172</v>
      </c>
      <c r="C52" s="15" t="s">
        <v>40</v>
      </c>
      <c r="D52" s="17">
        <v>0</v>
      </c>
      <c r="E52" s="18">
        <v>86900</v>
      </c>
      <c r="F52" s="15" t="s">
        <v>36</v>
      </c>
      <c r="G52" s="15" t="s">
        <v>36</v>
      </c>
      <c r="H52" s="15" t="s">
        <v>36</v>
      </c>
      <c r="I52" s="15" t="s">
        <v>36</v>
      </c>
      <c r="J52" s="15" t="s">
        <v>36</v>
      </c>
      <c r="K52" s="15" t="s">
        <v>36</v>
      </c>
      <c r="L52" s="15" t="s">
        <v>36</v>
      </c>
      <c r="M52" s="15" t="s">
        <v>36</v>
      </c>
      <c r="N52" s="15" t="s">
        <v>36</v>
      </c>
      <c r="O52" s="15" t="s">
        <v>36</v>
      </c>
      <c r="P52" s="15" t="s">
        <v>36</v>
      </c>
      <c r="Q52" s="15" t="s">
        <v>36</v>
      </c>
      <c r="R52" s="15" t="s">
        <v>36</v>
      </c>
      <c r="S52" s="15" t="s">
        <v>36</v>
      </c>
      <c r="T52" s="15" t="s">
        <v>36</v>
      </c>
      <c r="U52" s="15" t="s">
        <v>36</v>
      </c>
      <c r="V52" s="15" t="s">
        <v>36</v>
      </c>
      <c r="W52" s="15" t="s">
        <v>36</v>
      </c>
      <c r="X52" s="15" t="s">
        <v>36</v>
      </c>
      <c r="Y52" s="15" t="s">
        <v>36</v>
      </c>
      <c r="Z52" s="15" t="s">
        <v>36</v>
      </c>
    </row>
    <row r="53" spans="1:26" ht="15.75" customHeight="1" x14ac:dyDescent="0.25">
      <c r="A53" s="15" t="s">
        <v>132</v>
      </c>
      <c r="B53" s="15" t="s">
        <v>133</v>
      </c>
      <c r="C53" s="15" t="s">
        <v>21</v>
      </c>
      <c r="D53" s="17">
        <v>0</v>
      </c>
      <c r="E53" s="18">
        <v>61874.764300000003</v>
      </c>
      <c r="F53" s="15" t="s">
        <v>36</v>
      </c>
      <c r="G53" s="15" t="s">
        <v>36</v>
      </c>
      <c r="H53" s="15" t="s">
        <v>36</v>
      </c>
      <c r="I53" s="15" t="s">
        <v>36</v>
      </c>
      <c r="J53" s="15" t="s">
        <v>36</v>
      </c>
      <c r="K53" s="15" t="s">
        <v>36</v>
      </c>
      <c r="L53" s="15" t="s">
        <v>36</v>
      </c>
      <c r="M53" s="15" t="s">
        <v>36</v>
      </c>
      <c r="N53" s="15" t="s">
        <v>36</v>
      </c>
      <c r="O53" s="15" t="s">
        <v>37</v>
      </c>
      <c r="P53" s="18">
        <v>4</v>
      </c>
      <c r="Q53" s="15" t="s">
        <v>38</v>
      </c>
      <c r="R53" s="18">
        <v>247499.05710000001</v>
      </c>
      <c r="S53" s="18">
        <v>0</v>
      </c>
      <c r="T53" s="18">
        <v>0</v>
      </c>
      <c r="U53" s="18">
        <v>0</v>
      </c>
      <c r="V53" s="15" t="s">
        <v>36</v>
      </c>
      <c r="W53" s="15" t="s">
        <v>36</v>
      </c>
      <c r="X53" s="15" t="s">
        <v>36</v>
      </c>
      <c r="Y53" s="15" t="s">
        <v>36</v>
      </c>
      <c r="Z53" s="15" t="s">
        <v>36</v>
      </c>
    </row>
    <row r="54" spans="1:26" ht="15.75" customHeight="1" x14ac:dyDescent="0.25">
      <c r="A54" s="15" t="s">
        <v>138</v>
      </c>
      <c r="B54" s="15" t="s">
        <v>139</v>
      </c>
      <c r="C54" s="15" t="s">
        <v>57</v>
      </c>
      <c r="D54" s="15" t="s">
        <v>36</v>
      </c>
      <c r="E54" s="15" t="s">
        <v>36</v>
      </c>
      <c r="F54" s="15" t="s">
        <v>36</v>
      </c>
      <c r="G54" s="15" t="s">
        <v>36</v>
      </c>
      <c r="H54" s="15" t="s">
        <v>36</v>
      </c>
      <c r="I54" s="15" t="s">
        <v>36</v>
      </c>
      <c r="J54" s="15" t="s">
        <v>36</v>
      </c>
      <c r="K54" s="15" t="s">
        <v>36</v>
      </c>
      <c r="L54" s="15" t="s">
        <v>36</v>
      </c>
      <c r="M54" s="15" t="s">
        <v>36</v>
      </c>
      <c r="N54" s="15" t="s">
        <v>36</v>
      </c>
      <c r="O54" s="15" t="s">
        <v>43</v>
      </c>
      <c r="P54" s="18">
        <v>10</v>
      </c>
      <c r="Q54" s="15" t="s">
        <v>38</v>
      </c>
      <c r="R54" s="18">
        <v>0</v>
      </c>
      <c r="S54" s="18">
        <v>0</v>
      </c>
      <c r="T54" s="18">
        <v>0</v>
      </c>
      <c r="U54" s="18">
        <v>0</v>
      </c>
      <c r="V54" s="15" t="s">
        <v>36</v>
      </c>
      <c r="W54" s="15" t="s">
        <v>36</v>
      </c>
      <c r="X54" s="15" t="s">
        <v>36</v>
      </c>
      <c r="Y54" s="15" t="s">
        <v>36</v>
      </c>
      <c r="Z54" s="15" t="s">
        <v>36</v>
      </c>
    </row>
    <row r="55" spans="1:26" ht="15.75" customHeight="1" x14ac:dyDescent="0.25">
      <c r="A55" s="15" t="s">
        <v>36</v>
      </c>
      <c r="B55" s="15" t="s">
        <v>36</v>
      </c>
      <c r="C55" s="15" t="s">
        <v>36</v>
      </c>
      <c r="D55" s="15" t="s">
        <v>36</v>
      </c>
      <c r="E55" s="15" t="s">
        <v>36</v>
      </c>
      <c r="F55" s="15" t="s">
        <v>36</v>
      </c>
      <c r="G55" s="15" t="s">
        <v>36</v>
      </c>
      <c r="H55" s="15" t="s">
        <v>36</v>
      </c>
      <c r="I55" s="15" t="s">
        <v>36</v>
      </c>
      <c r="J55" s="15" t="s">
        <v>36</v>
      </c>
      <c r="K55" s="15" t="s">
        <v>36</v>
      </c>
      <c r="L55" s="15" t="s">
        <v>36</v>
      </c>
      <c r="M55" s="15" t="s">
        <v>36</v>
      </c>
      <c r="N55" s="15" t="s">
        <v>36</v>
      </c>
      <c r="O55" s="15" t="s">
        <v>37</v>
      </c>
      <c r="P55" s="18">
        <v>50</v>
      </c>
      <c r="Q55" s="15" t="s">
        <v>38</v>
      </c>
      <c r="R55" s="18">
        <v>0</v>
      </c>
      <c r="S55" s="18">
        <v>0</v>
      </c>
      <c r="T55" s="18">
        <v>0</v>
      </c>
      <c r="U55" s="18">
        <v>0</v>
      </c>
      <c r="V55" s="15" t="s">
        <v>36</v>
      </c>
      <c r="W55" s="15" t="s">
        <v>36</v>
      </c>
      <c r="X55" s="15" t="s">
        <v>36</v>
      </c>
      <c r="Y55" s="15" t="s">
        <v>36</v>
      </c>
      <c r="Z55" s="15" t="s">
        <v>36</v>
      </c>
    </row>
    <row r="56" spans="1:26" ht="15.75" customHeight="1" x14ac:dyDescent="0.25">
      <c r="A56" s="15" t="s">
        <v>173</v>
      </c>
      <c r="B56" s="15" t="s">
        <v>174</v>
      </c>
      <c r="C56" s="15" t="s">
        <v>175</v>
      </c>
      <c r="D56" s="17">
        <v>0</v>
      </c>
      <c r="E56" s="18">
        <v>1694</v>
      </c>
      <c r="F56" s="15" t="s">
        <v>36</v>
      </c>
      <c r="G56" s="15" t="s">
        <v>36</v>
      </c>
      <c r="H56" s="15" t="s">
        <v>36</v>
      </c>
      <c r="I56" s="15" t="s">
        <v>36</v>
      </c>
      <c r="J56" s="15" t="s">
        <v>36</v>
      </c>
      <c r="K56" s="15" t="s">
        <v>36</v>
      </c>
      <c r="L56" s="15" t="s">
        <v>36</v>
      </c>
      <c r="M56" s="15" t="s">
        <v>36</v>
      </c>
      <c r="N56" s="15" t="s">
        <v>36</v>
      </c>
      <c r="O56" s="15" t="s">
        <v>43</v>
      </c>
      <c r="P56" s="18">
        <v>50</v>
      </c>
      <c r="Q56" s="15" t="s">
        <v>38</v>
      </c>
      <c r="R56" s="18">
        <v>84700</v>
      </c>
      <c r="S56" s="18">
        <v>0</v>
      </c>
      <c r="T56" s="18">
        <v>0</v>
      </c>
      <c r="U56" s="18">
        <v>0</v>
      </c>
      <c r="V56" s="15" t="s">
        <v>36</v>
      </c>
      <c r="W56" s="15" t="s">
        <v>36</v>
      </c>
      <c r="X56" s="15" t="s">
        <v>36</v>
      </c>
      <c r="Y56" s="15" t="s">
        <v>36</v>
      </c>
      <c r="Z56" s="15" t="s">
        <v>36</v>
      </c>
    </row>
    <row r="57" spans="1:26" ht="15.75" customHeight="1" x14ac:dyDescent="0.25">
      <c r="A57" s="15" t="s">
        <v>176</v>
      </c>
      <c r="B57" s="15" t="s">
        <v>177</v>
      </c>
      <c r="C57" s="15" t="s">
        <v>54</v>
      </c>
      <c r="D57" s="17">
        <v>0</v>
      </c>
      <c r="E57" s="18">
        <v>3046.1605</v>
      </c>
      <c r="F57" s="15" t="s">
        <v>36</v>
      </c>
      <c r="G57" s="15" t="s">
        <v>36</v>
      </c>
      <c r="H57" s="15" t="s">
        <v>36</v>
      </c>
      <c r="I57" s="15" t="s">
        <v>36</v>
      </c>
      <c r="J57" s="15" t="s">
        <v>36</v>
      </c>
      <c r="K57" s="15" t="s">
        <v>36</v>
      </c>
      <c r="L57" s="15" t="s">
        <v>36</v>
      </c>
      <c r="M57" s="15" t="s">
        <v>36</v>
      </c>
      <c r="N57" s="15" t="s">
        <v>36</v>
      </c>
      <c r="O57" s="15" t="s">
        <v>40</v>
      </c>
      <c r="P57" s="18">
        <v>13</v>
      </c>
      <c r="Q57" s="15" t="s">
        <v>38</v>
      </c>
      <c r="R57" s="18">
        <v>39600.086799999997</v>
      </c>
      <c r="S57" s="18">
        <v>0</v>
      </c>
      <c r="T57" s="18">
        <v>0</v>
      </c>
      <c r="U57" s="18">
        <v>0</v>
      </c>
      <c r="V57" s="15" t="s">
        <v>36</v>
      </c>
      <c r="W57" s="15" t="s">
        <v>36</v>
      </c>
      <c r="X57" s="15" t="s">
        <v>36</v>
      </c>
      <c r="Y57" s="15" t="s">
        <v>36</v>
      </c>
      <c r="Z57" s="15" t="s">
        <v>36</v>
      </c>
    </row>
    <row r="58" spans="1:26" ht="15.75" customHeight="1" x14ac:dyDescent="0.25">
      <c r="A58" s="15" t="s">
        <v>178</v>
      </c>
      <c r="B58" s="15" t="s">
        <v>179</v>
      </c>
      <c r="C58" s="15" t="s">
        <v>40</v>
      </c>
      <c r="D58" s="17">
        <v>0</v>
      </c>
      <c r="E58" s="18">
        <v>16500</v>
      </c>
      <c r="F58" s="15" t="s">
        <v>36</v>
      </c>
      <c r="G58" s="15" t="s">
        <v>36</v>
      </c>
      <c r="H58" s="15" t="s">
        <v>36</v>
      </c>
      <c r="I58" s="15" t="s">
        <v>36</v>
      </c>
      <c r="J58" s="15" t="s">
        <v>36</v>
      </c>
      <c r="K58" s="15" t="s">
        <v>36</v>
      </c>
      <c r="L58" s="15" t="s">
        <v>36</v>
      </c>
      <c r="M58" s="15" t="s">
        <v>36</v>
      </c>
      <c r="N58" s="15" t="s">
        <v>36</v>
      </c>
      <c r="O58" s="15" t="s">
        <v>37</v>
      </c>
      <c r="P58" s="18">
        <v>20</v>
      </c>
      <c r="Q58" s="15" t="s">
        <v>38</v>
      </c>
      <c r="R58" s="18">
        <v>330000</v>
      </c>
      <c r="S58" s="18">
        <v>0</v>
      </c>
      <c r="T58" s="18">
        <v>0</v>
      </c>
      <c r="U58" s="18">
        <v>0</v>
      </c>
      <c r="V58" s="15" t="s">
        <v>36</v>
      </c>
      <c r="W58" s="15" t="s">
        <v>36</v>
      </c>
      <c r="X58" s="15" t="s">
        <v>36</v>
      </c>
      <c r="Y58" s="15" t="s">
        <v>36</v>
      </c>
      <c r="Z58" s="15" t="s">
        <v>36</v>
      </c>
    </row>
    <row r="59" spans="1:26" ht="15.75" customHeight="1" x14ac:dyDescent="0.25">
      <c r="A59" s="15" t="s">
        <v>180</v>
      </c>
      <c r="B59" s="15" t="s">
        <v>181</v>
      </c>
      <c r="C59" s="15" t="s">
        <v>21</v>
      </c>
      <c r="D59" s="17">
        <v>0</v>
      </c>
      <c r="E59" s="18">
        <v>60500</v>
      </c>
      <c r="F59" s="15" t="s">
        <v>36</v>
      </c>
      <c r="G59" s="15" t="s">
        <v>36</v>
      </c>
      <c r="H59" s="15" t="s">
        <v>36</v>
      </c>
      <c r="I59" s="15" t="s">
        <v>36</v>
      </c>
      <c r="J59" s="15" t="s">
        <v>36</v>
      </c>
      <c r="K59" s="15" t="s">
        <v>36</v>
      </c>
      <c r="L59" s="15" t="s">
        <v>36</v>
      </c>
      <c r="M59" s="15" t="s">
        <v>36</v>
      </c>
      <c r="N59" s="15" t="s">
        <v>36</v>
      </c>
      <c r="O59" s="15" t="s">
        <v>37</v>
      </c>
      <c r="P59" s="18">
        <v>4</v>
      </c>
      <c r="Q59" s="15" t="s">
        <v>38</v>
      </c>
      <c r="R59" s="18">
        <v>242000</v>
      </c>
      <c r="S59" s="18">
        <v>0</v>
      </c>
      <c r="T59" s="18">
        <v>0</v>
      </c>
      <c r="U59" s="18">
        <v>0</v>
      </c>
      <c r="V59" s="15" t="s">
        <v>36</v>
      </c>
      <c r="W59" s="15" t="s">
        <v>36</v>
      </c>
      <c r="X59" s="15" t="s">
        <v>36</v>
      </c>
      <c r="Y59" s="15" t="s">
        <v>36</v>
      </c>
      <c r="Z59" s="15" t="s">
        <v>36</v>
      </c>
    </row>
    <row r="60" spans="1:26" ht="15.75" customHeight="1" x14ac:dyDescent="0.25">
      <c r="A60" s="15" t="s">
        <v>182</v>
      </c>
      <c r="B60" s="15" t="s">
        <v>183</v>
      </c>
      <c r="C60" s="15" t="s">
        <v>21</v>
      </c>
      <c r="D60" s="17">
        <v>0</v>
      </c>
      <c r="E60" s="18">
        <v>61600</v>
      </c>
      <c r="F60" s="15" t="s">
        <v>36</v>
      </c>
      <c r="G60" s="15" t="s">
        <v>36</v>
      </c>
      <c r="H60" s="15" t="s">
        <v>36</v>
      </c>
      <c r="I60" s="15" t="s">
        <v>36</v>
      </c>
      <c r="J60" s="15" t="s">
        <v>36</v>
      </c>
      <c r="K60" s="15" t="s">
        <v>36</v>
      </c>
      <c r="L60" s="15" t="s">
        <v>36</v>
      </c>
      <c r="M60" s="15" t="s">
        <v>36</v>
      </c>
      <c r="N60" s="15" t="s">
        <v>36</v>
      </c>
      <c r="O60" s="15" t="s">
        <v>37</v>
      </c>
      <c r="P60" s="18">
        <v>4</v>
      </c>
      <c r="Q60" s="15" t="s">
        <v>38</v>
      </c>
      <c r="R60" s="18">
        <v>246400</v>
      </c>
      <c r="S60" s="18">
        <v>0</v>
      </c>
      <c r="T60" s="18">
        <v>0</v>
      </c>
      <c r="U60" s="18">
        <v>0</v>
      </c>
      <c r="V60" s="15" t="s">
        <v>36</v>
      </c>
      <c r="W60" s="15" t="s">
        <v>36</v>
      </c>
      <c r="X60" s="15" t="s">
        <v>36</v>
      </c>
      <c r="Y60" s="15" t="s">
        <v>36</v>
      </c>
      <c r="Z60" s="15" t="s">
        <v>36</v>
      </c>
    </row>
    <row r="61" spans="1:26" ht="15.75" customHeight="1" x14ac:dyDescent="0.25">
      <c r="A61" s="15" t="s">
        <v>184</v>
      </c>
      <c r="B61" s="15" t="s">
        <v>185</v>
      </c>
      <c r="C61" s="15" t="s">
        <v>40</v>
      </c>
      <c r="D61" s="17">
        <v>0</v>
      </c>
      <c r="E61" s="18">
        <v>14300</v>
      </c>
      <c r="F61" s="15" t="s">
        <v>36</v>
      </c>
      <c r="G61" s="15" t="s">
        <v>36</v>
      </c>
      <c r="H61" s="15" t="s">
        <v>36</v>
      </c>
      <c r="I61" s="15" t="s">
        <v>36</v>
      </c>
      <c r="J61" s="15" t="s">
        <v>36</v>
      </c>
      <c r="K61" s="15" t="s">
        <v>36</v>
      </c>
      <c r="L61" s="15" t="s">
        <v>36</v>
      </c>
      <c r="M61" s="15" t="s">
        <v>36</v>
      </c>
      <c r="N61" s="15" t="s">
        <v>36</v>
      </c>
      <c r="O61" s="15" t="s">
        <v>37</v>
      </c>
      <c r="P61" s="18">
        <v>12</v>
      </c>
      <c r="Q61" s="15" t="s">
        <v>38</v>
      </c>
      <c r="R61" s="18">
        <v>171600</v>
      </c>
      <c r="S61" s="18">
        <v>0</v>
      </c>
      <c r="T61" s="18">
        <v>0</v>
      </c>
      <c r="U61" s="18">
        <v>0</v>
      </c>
      <c r="V61" s="15" t="s">
        <v>36</v>
      </c>
      <c r="W61" s="15" t="s">
        <v>36</v>
      </c>
      <c r="X61" s="15" t="s">
        <v>36</v>
      </c>
      <c r="Y61" s="15" t="s">
        <v>36</v>
      </c>
      <c r="Z61" s="15" t="s">
        <v>36</v>
      </c>
    </row>
    <row r="62" spans="1:26" ht="15.75" customHeight="1" x14ac:dyDescent="0.25">
      <c r="A62" s="15" t="s">
        <v>186</v>
      </c>
      <c r="B62" s="15" t="s">
        <v>187</v>
      </c>
      <c r="C62" s="15" t="s">
        <v>40</v>
      </c>
      <c r="D62" s="17">
        <v>0</v>
      </c>
      <c r="E62" s="18">
        <v>4950</v>
      </c>
      <c r="F62" s="15" t="s">
        <v>36</v>
      </c>
      <c r="G62" s="15" t="s">
        <v>36</v>
      </c>
      <c r="H62" s="15" t="s">
        <v>36</v>
      </c>
      <c r="I62" s="15" t="s">
        <v>36</v>
      </c>
      <c r="J62" s="15" t="s">
        <v>36</v>
      </c>
      <c r="K62" s="15" t="s">
        <v>36</v>
      </c>
      <c r="L62" s="15" t="s">
        <v>36</v>
      </c>
      <c r="M62" s="15" t="s">
        <v>36</v>
      </c>
      <c r="N62" s="15" t="s">
        <v>36</v>
      </c>
      <c r="O62" s="15" t="s">
        <v>36</v>
      </c>
      <c r="P62" s="15" t="s">
        <v>36</v>
      </c>
      <c r="Q62" s="15" t="s">
        <v>36</v>
      </c>
      <c r="R62" s="15" t="s">
        <v>36</v>
      </c>
      <c r="S62" s="15" t="s">
        <v>36</v>
      </c>
      <c r="T62" s="15" t="s">
        <v>36</v>
      </c>
      <c r="U62" s="15" t="s">
        <v>36</v>
      </c>
      <c r="V62" s="15" t="s">
        <v>36</v>
      </c>
      <c r="W62" s="15" t="s">
        <v>36</v>
      </c>
      <c r="X62" s="15" t="s">
        <v>36</v>
      </c>
      <c r="Y62" s="15" t="s">
        <v>36</v>
      </c>
      <c r="Z62" s="15" t="s">
        <v>36</v>
      </c>
    </row>
    <row r="63" spans="1:26" ht="15.75" customHeight="1" x14ac:dyDescent="0.25">
      <c r="A63" s="15" t="s">
        <v>188</v>
      </c>
      <c r="B63" s="15" t="s">
        <v>190</v>
      </c>
      <c r="C63" s="15" t="s">
        <v>40</v>
      </c>
      <c r="D63" s="17">
        <v>0</v>
      </c>
      <c r="E63" s="18">
        <v>5041.6677</v>
      </c>
      <c r="F63" s="15" t="s">
        <v>36</v>
      </c>
      <c r="G63" s="15" t="s">
        <v>36</v>
      </c>
      <c r="H63" s="15" t="s">
        <v>36</v>
      </c>
      <c r="I63" s="15" t="s">
        <v>36</v>
      </c>
      <c r="J63" s="15" t="s">
        <v>36</v>
      </c>
      <c r="K63" s="15" t="s">
        <v>36</v>
      </c>
      <c r="L63" s="15" t="s">
        <v>36</v>
      </c>
      <c r="M63" s="15" t="s">
        <v>36</v>
      </c>
      <c r="N63" s="15" t="s">
        <v>36</v>
      </c>
      <c r="O63" s="15" t="s">
        <v>36</v>
      </c>
      <c r="P63" s="15" t="s">
        <v>36</v>
      </c>
      <c r="Q63" s="15" t="s">
        <v>36</v>
      </c>
      <c r="R63" s="15" t="s">
        <v>36</v>
      </c>
      <c r="S63" s="15" t="s">
        <v>36</v>
      </c>
      <c r="T63" s="15" t="s">
        <v>36</v>
      </c>
      <c r="U63" s="15" t="s">
        <v>36</v>
      </c>
      <c r="V63" s="15" t="s">
        <v>36</v>
      </c>
      <c r="W63" s="15" t="s">
        <v>36</v>
      </c>
      <c r="X63" s="15" t="s">
        <v>36</v>
      </c>
      <c r="Y63" s="15" t="s">
        <v>36</v>
      </c>
      <c r="Z63" s="15" t="s">
        <v>36</v>
      </c>
    </row>
    <row r="64" spans="1:26" ht="15.75" customHeight="1" x14ac:dyDescent="0.25">
      <c r="A64" s="15" t="s">
        <v>191</v>
      </c>
      <c r="B64" s="15" t="s">
        <v>192</v>
      </c>
      <c r="C64" s="15" t="s">
        <v>54</v>
      </c>
      <c r="D64" s="17">
        <v>0</v>
      </c>
      <c r="E64" s="18">
        <v>8375.4</v>
      </c>
      <c r="F64" s="15" t="s">
        <v>36</v>
      </c>
      <c r="G64" s="15" t="s">
        <v>36</v>
      </c>
      <c r="H64" s="15" t="s">
        <v>36</v>
      </c>
      <c r="I64" s="15" t="s">
        <v>36</v>
      </c>
      <c r="J64" s="15" t="s">
        <v>36</v>
      </c>
      <c r="K64" s="15" t="s">
        <v>36</v>
      </c>
      <c r="L64" s="15" t="s">
        <v>36</v>
      </c>
      <c r="M64" s="15" t="s">
        <v>36</v>
      </c>
      <c r="N64" s="15" t="s">
        <v>36</v>
      </c>
      <c r="O64" s="15" t="s">
        <v>37</v>
      </c>
      <c r="P64" s="18">
        <v>20</v>
      </c>
      <c r="Q64" s="15" t="s">
        <v>38</v>
      </c>
      <c r="R64" s="18">
        <v>167508</v>
      </c>
      <c r="S64" s="18">
        <v>0</v>
      </c>
      <c r="T64" s="18">
        <v>0</v>
      </c>
      <c r="U64" s="18">
        <v>0</v>
      </c>
      <c r="V64" s="15" t="s">
        <v>36</v>
      </c>
      <c r="W64" s="15" t="s">
        <v>36</v>
      </c>
      <c r="X64" s="15" t="s">
        <v>36</v>
      </c>
      <c r="Y64" s="15" t="s">
        <v>36</v>
      </c>
      <c r="Z64" s="15" t="s">
        <v>36</v>
      </c>
    </row>
    <row r="65" spans="1:26" ht="15.75" customHeight="1" x14ac:dyDescent="0.25">
      <c r="A65" s="15" t="s">
        <v>194</v>
      </c>
      <c r="B65" s="15" t="s">
        <v>195</v>
      </c>
      <c r="C65" s="15" t="s">
        <v>54</v>
      </c>
      <c r="D65" s="17">
        <v>0</v>
      </c>
      <c r="E65" s="18">
        <v>7425</v>
      </c>
      <c r="F65" s="15" t="s">
        <v>36</v>
      </c>
      <c r="G65" s="15" t="s">
        <v>36</v>
      </c>
      <c r="H65" s="15" t="s">
        <v>36</v>
      </c>
      <c r="I65" s="15" t="s">
        <v>36</v>
      </c>
      <c r="J65" s="15" t="s">
        <v>36</v>
      </c>
      <c r="K65" s="15" t="s">
        <v>36</v>
      </c>
      <c r="L65" s="15" t="s">
        <v>36</v>
      </c>
      <c r="M65" s="15" t="s">
        <v>36</v>
      </c>
      <c r="N65" s="15" t="s">
        <v>36</v>
      </c>
      <c r="O65" s="15" t="s">
        <v>37</v>
      </c>
      <c r="P65" s="18">
        <v>32</v>
      </c>
      <c r="Q65" s="15" t="s">
        <v>38</v>
      </c>
      <c r="R65" s="18">
        <v>237600</v>
      </c>
      <c r="S65" s="18">
        <v>0</v>
      </c>
      <c r="T65" s="18">
        <v>0</v>
      </c>
      <c r="U65" s="18">
        <v>0</v>
      </c>
      <c r="V65" s="15" t="s">
        <v>36</v>
      </c>
      <c r="W65" s="15" t="s">
        <v>36</v>
      </c>
      <c r="X65" s="15" t="s">
        <v>36</v>
      </c>
      <c r="Y65" s="15" t="s">
        <v>36</v>
      </c>
      <c r="Z65" s="15" t="s">
        <v>36</v>
      </c>
    </row>
    <row r="66" spans="1:26" ht="15.75" customHeight="1" x14ac:dyDescent="0.25">
      <c r="A66" s="15" t="s">
        <v>196</v>
      </c>
      <c r="B66" s="15" t="s">
        <v>197</v>
      </c>
      <c r="C66" s="15" t="s">
        <v>54</v>
      </c>
      <c r="D66" s="17">
        <v>0</v>
      </c>
      <c r="E66" s="18">
        <v>9068.4</v>
      </c>
      <c r="F66" s="15" t="s">
        <v>36</v>
      </c>
      <c r="G66" s="15" t="s">
        <v>36</v>
      </c>
      <c r="H66" s="15" t="s">
        <v>36</v>
      </c>
      <c r="I66" s="15" t="s">
        <v>36</v>
      </c>
      <c r="J66" s="15" t="s">
        <v>36</v>
      </c>
      <c r="K66" s="15" t="s">
        <v>36</v>
      </c>
      <c r="L66" s="15" t="s">
        <v>36</v>
      </c>
      <c r="M66" s="15" t="s">
        <v>36</v>
      </c>
      <c r="N66" s="15" t="s">
        <v>36</v>
      </c>
      <c r="O66" s="15" t="s">
        <v>37</v>
      </c>
      <c r="P66" s="18">
        <v>30</v>
      </c>
      <c r="Q66" s="15" t="s">
        <v>38</v>
      </c>
      <c r="R66" s="18">
        <v>272052</v>
      </c>
      <c r="S66" s="18">
        <v>0</v>
      </c>
      <c r="T66" s="18">
        <v>0</v>
      </c>
      <c r="U66" s="18">
        <v>0</v>
      </c>
      <c r="V66" s="15" t="s">
        <v>36</v>
      </c>
      <c r="W66" s="15" t="s">
        <v>36</v>
      </c>
      <c r="X66" s="15" t="s">
        <v>36</v>
      </c>
      <c r="Y66" s="15" t="s">
        <v>36</v>
      </c>
      <c r="Z66" s="15" t="s">
        <v>36</v>
      </c>
    </row>
    <row r="67" spans="1:26" ht="15.75" customHeight="1" x14ac:dyDescent="0.25">
      <c r="A67" s="15" t="s">
        <v>198</v>
      </c>
      <c r="B67" s="15" t="s">
        <v>199</v>
      </c>
      <c r="C67" s="15" t="s">
        <v>200</v>
      </c>
      <c r="D67" s="15" t="s">
        <v>36</v>
      </c>
      <c r="E67" s="15" t="s">
        <v>36</v>
      </c>
      <c r="F67" s="15" t="s">
        <v>36</v>
      </c>
      <c r="G67" s="15" t="s">
        <v>36</v>
      </c>
      <c r="H67" s="15" t="s">
        <v>36</v>
      </c>
      <c r="I67" s="15" t="s">
        <v>36</v>
      </c>
      <c r="J67" s="15" t="s">
        <v>36</v>
      </c>
      <c r="K67" s="15" t="s">
        <v>36</v>
      </c>
      <c r="L67" s="15" t="s">
        <v>36</v>
      </c>
      <c r="M67" s="15" t="s">
        <v>36</v>
      </c>
      <c r="N67" s="15" t="s">
        <v>36</v>
      </c>
      <c r="O67" s="15" t="s">
        <v>57</v>
      </c>
      <c r="P67" s="18">
        <v>500</v>
      </c>
      <c r="Q67" s="15" t="s">
        <v>38</v>
      </c>
      <c r="R67" s="18">
        <v>0</v>
      </c>
      <c r="S67" s="18">
        <v>0</v>
      </c>
      <c r="T67" s="18">
        <v>0</v>
      </c>
      <c r="U67" s="18">
        <v>0</v>
      </c>
      <c r="V67" s="15" t="s">
        <v>36</v>
      </c>
      <c r="W67" s="15" t="s">
        <v>36</v>
      </c>
      <c r="X67" s="15" t="s">
        <v>36</v>
      </c>
      <c r="Y67" s="15" t="s">
        <v>36</v>
      </c>
      <c r="Z67" s="15" t="s">
        <v>36</v>
      </c>
    </row>
    <row r="68" spans="1:26" ht="15.75" customHeight="1" x14ac:dyDescent="0.25">
      <c r="A68" s="15" t="s">
        <v>36</v>
      </c>
      <c r="B68" s="15" t="s">
        <v>36</v>
      </c>
      <c r="C68" s="15" t="s">
        <v>36</v>
      </c>
      <c r="D68" s="15" t="s">
        <v>36</v>
      </c>
      <c r="E68" s="15" t="s">
        <v>36</v>
      </c>
      <c r="F68" s="15" t="s">
        <v>36</v>
      </c>
      <c r="G68" s="15" t="s">
        <v>36</v>
      </c>
      <c r="H68" s="15" t="s">
        <v>36</v>
      </c>
      <c r="I68" s="15" t="s">
        <v>36</v>
      </c>
      <c r="J68" s="15" t="s">
        <v>36</v>
      </c>
      <c r="K68" s="15" t="s">
        <v>36</v>
      </c>
      <c r="L68" s="15" t="s">
        <v>36</v>
      </c>
      <c r="M68" s="15" t="s">
        <v>36</v>
      </c>
      <c r="N68" s="15" t="s">
        <v>36</v>
      </c>
      <c r="O68" s="15" t="s">
        <v>37</v>
      </c>
      <c r="P68" s="18">
        <v>6000</v>
      </c>
      <c r="Q68" s="15" t="s">
        <v>38</v>
      </c>
      <c r="R68" s="18">
        <v>0</v>
      </c>
      <c r="S68" s="18">
        <v>0</v>
      </c>
      <c r="T68" s="18">
        <v>0</v>
      </c>
      <c r="U68" s="18">
        <v>0</v>
      </c>
      <c r="V68" s="15" t="s">
        <v>36</v>
      </c>
      <c r="W68" s="15" t="s">
        <v>36</v>
      </c>
      <c r="X68" s="15" t="s">
        <v>36</v>
      </c>
      <c r="Y68" s="15" t="s">
        <v>36</v>
      </c>
      <c r="Z68" s="15" t="s">
        <v>36</v>
      </c>
    </row>
    <row r="69" spans="1:26" ht="15.75" customHeight="1" x14ac:dyDescent="0.25">
      <c r="A69" s="15" t="s">
        <v>201</v>
      </c>
      <c r="B69" s="15" t="s">
        <v>202</v>
      </c>
      <c r="C69" s="15" t="s">
        <v>40</v>
      </c>
      <c r="D69" s="17">
        <v>0</v>
      </c>
      <c r="E69" s="18">
        <v>9471</v>
      </c>
      <c r="F69" s="15" t="s">
        <v>36</v>
      </c>
      <c r="G69" s="15" t="s">
        <v>36</v>
      </c>
      <c r="H69" s="15" t="s">
        <v>36</v>
      </c>
      <c r="I69" s="15" t="s">
        <v>36</v>
      </c>
      <c r="J69" s="15" t="s">
        <v>36</v>
      </c>
      <c r="K69" s="15" t="s">
        <v>36</v>
      </c>
      <c r="L69" s="15" t="s">
        <v>36</v>
      </c>
      <c r="M69" s="15" t="s">
        <v>36</v>
      </c>
      <c r="N69" s="15" t="s">
        <v>36</v>
      </c>
      <c r="O69" s="15" t="s">
        <v>37</v>
      </c>
      <c r="P69" s="18">
        <v>36</v>
      </c>
      <c r="Q69" s="15" t="s">
        <v>38</v>
      </c>
      <c r="R69" s="18">
        <v>340956</v>
      </c>
      <c r="S69" s="18">
        <v>0</v>
      </c>
      <c r="T69" s="18">
        <v>0</v>
      </c>
      <c r="U69" s="18">
        <v>0</v>
      </c>
      <c r="V69" s="15" t="s">
        <v>36</v>
      </c>
      <c r="W69" s="15" t="s">
        <v>36</v>
      </c>
      <c r="X69" s="15" t="s">
        <v>36</v>
      </c>
      <c r="Y69" s="15" t="s">
        <v>36</v>
      </c>
      <c r="Z69" s="15" t="s">
        <v>36</v>
      </c>
    </row>
    <row r="70" spans="1:26" ht="15.75" customHeight="1" x14ac:dyDescent="0.25">
      <c r="A70" s="15" t="s">
        <v>203</v>
      </c>
      <c r="B70" s="15" t="s">
        <v>204</v>
      </c>
      <c r="C70" s="15" t="s">
        <v>40</v>
      </c>
      <c r="D70" s="17">
        <v>0</v>
      </c>
      <c r="E70" s="18">
        <v>14630</v>
      </c>
      <c r="F70" s="15" t="s">
        <v>36</v>
      </c>
      <c r="G70" s="15" t="s">
        <v>36</v>
      </c>
      <c r="H70" s="15" t="s">
        <v>36</v>
      </c>
      <c r="I70" s="15" t="s">
        <v>36</v>
      </c>
      <c r="J70" s="15" t="s">
        <v>36</v>
      </c>
      <c r="K70" s="15" t="s">
        <v>36</v>
      </c>
      <c r="L70" s="15" t="s">
        <v>36</v>
      </c>
      <c r="M70" s="15" t="s">
        <v>36</v>
      </c>
      <c r="N70" s="15" t="s">
        <v>36</v>
      </c>
      <c r="O70" s="15" t="s">
        <v>36</v>
      </c>
      <c r="P70" s="15" t="s">
        <v>36</v>
      </c>
      <c r="Q70" s="15" t="s">
        <v>36</v>
      </c>
      <c r="R70" s="15" t="s">
        <v>36</v>
      </c>
      <c r="S70" s="15" t="s">
        <v>36</v>
      </c>
      <c r="T70" s="15" t="s">
        <v>36</v>
      </c>
      <c r="U70" s="15" t="s">
        <v>36</v>
      </c>
      <c r="V70" s="15" t="s">
        <v>36</v>
      </c>
      <c r="W70" s="15" t="s">
        <v>36</v>
      </c>
      <c r="X70" s="15" t="s">
        <v>36</v>
      </c>
      <c r="Y70" s="15" t="s">
        <v>36</v>
      </c>
      <c r="Z70" s="15" t="s">
        <v>36</v>
      </c>
    </row>
    <row r="71" spans="1:26" ht="15.75" customHeight="1" x14ac:dyDescent="0.25">
      <c r="A71" s="15" t="s">
        <v>205</v>
      </c>
      <c r="B71" s="15" t="s">
        <v>206</v>
      </c>
      <c r="C71" s="15" t="s">
        <v>21</v>
      </c>
      <c r="D71" s="17">
        <v>0</v>
      </c>
      <c r="E71" s="18">
        <v>106700</v>
      </c>
      <c r="F71" s="15" t="s">
        <v>36</v>
      </c>
      <c r="G71" s="15" t="s">
        <v>36</v>
      </c>
      <c r="H71" s="15" t="s">
        <v>36</v>
      </c>
      <c r="I71" s="15" t="s">
        <v>36</v>
      </c>
      <c r="J71" s="15" t="s">
        <v>36</v>
      </c>
      <c r="K71" s="15" t="s">
        <v>36</v>
      </c>
      <c r="L71" s="15" t="s">
        <v>36</v>
      </c>
      <c r="M71" s="15" t="s">
        <v>36</v>
      </c>
      <c r="N71" s="15" t="s">
        <v>36</v>
      </c>
      <c r="O71" s="15" t="s">
        <v>40</v>
      </c>
      <c r="P71" s="18">
        <v>1</v>
      </c>
      <c r="Q71" s="15" t="s">
        <v>38</v>
      </c>
      <c r="R71" s="18">
        <v>106700</v>
      </c>
      <c r="S71" s="18">
        <v>0</v>
      </c>
      <c r="T71" s="18">
        <v>0</v>
      </c>
      <c r="U71" s="18">
        <v>0</v>
      </c>
      <c r="V71" s="15" t="s">
        <v>36</v>
      </c>
      <c r="W71" s="15" t="s">
        <v>36</v>
      </c>
      <c r="X71" s="15" t="s">
        <v>36</v>
      </c>
      <c r="Y71" s="15" t="s">
        <v>36</v>
      </c>
      <c r="Z71" s="15" t="s">
        <v>36</v>
      </c>
    </row>
    <row r="72" spans="1:26" ht="15.75" customHeight="1" x14ac:dyDescent="0.25">
      <c r="A72" s="15" t="s">
        <v>207</v>
      </c>
      <c r="B72" s="15" t="s">
        <v>208</v>
      </c>
      <c r="C72" s="15" t="s">
        <v>54</v>
      </c>
      <c r="D72" s="15" t="s">
        <v>36</v>
      </c>
      <c r="E72" s="18">
        <v>86700</v>
      </c>
      <c r="F72" s="15" t="s">
        <v>36</v>
      </c>
      <c r="G72" s="15" t="s">
        <v>36</v>
      </c>
      <c r="H72" s="15" t="s">
        <v>36</v>
      </c>
      <c r="I72" s="15" t="s">
        <v>36</v>
      </c>
      <c r="J72" s="15" t="s">
        <v>36</v>
      </c>
      <c r="K72" s="15" t="s">
        <v>36</v>
      </c>
      <c r="L72" s="15" t="s">
        <v>36</v>
      </c>
      <c r="M72" s="15" t="s">
        <v>36</v>
      </c>
      <c r="N72" s="15" t="s">
        <v>36</v>
      </c>
      <c r="O72" s="15" t="s">
        <v>43</v>
      </c>
      <c r="P72" s="18">
        <v>20</v>
      </c>
      <c r="Q72" s="15" t="s">
        <v>38</v>
      </c>
      <c r="R72" s="18">
        <v>0</v>
      </c>
      <c r="S72" s="18">
        <v>0</v>
      </c>
      <c r="T72" s="18">
        <v>0</v>
      </c>
      <c r="U72" s="18">
        <v>0</v>
      </c>
      <c r="V72" s="15" t="s">
        <v>36</v>
      </c>
      <c r="W72" s="15" t="s">
        <v>36</v>
      </c>
      <c r="X72" s="15" t="s">
        <v>36</v>
      </c>
      <c r="Y72" s="15" t="s">
        <v>36</v>
      </c>
      <c r="Z72" s="15" t="s">
        <v>36</v>
      </c>
    </row>
    <row r="73" spans="1:26" ht="15.75" customHeight="1" x14ac:dyDescent="0.25">
      <c r="A73" s="15" t="s">
        <v>36</v>
      </c>
      <c r="B73" s="15" t="s">
        <v>36</v>
      </c>
      <c r="C73" s="15" t="s">
        <v>36</v>
      </c>
      <c r="D73" s="15" t="s">
        <v>36</v>
      </c>
      <c r="E73" s="15" t="s">
        <v>36</v>
      </c>
      <c r="F73" s="15" t="s">
        <v>36</v>
      </c>
      <c r="G73" s="15" t="s">
        <v>36</v>
      </c>
      <c r="H73" s="15" t="s">
        <v>36</v>
      </c>
      <c r="I73" s="15" t="s">
        <v>36</v>
      </c>
      <c r="J73" s="15" t="s">
        <v>36</v>
      </c>
      <c r="K73" s="15" t="s">
        <v>36</v>
      </c>
      <c r="L73" s="15" t="s">
        <v>36</v>
      </c>
      <c r="M73" s="15" t="s">
        <v>36</v>
      </c>
      <c r="N73" s="15" t="s">
        <v>36</v>
      </c>
      <c r="O73" s="15" t="s">
        <v>37</v>
      </c>
      <c r="P73" s="18">
        <v>200</v>
      </c>
      <c r="Q73" s="15" t="s">
        <v>38</v>
      </c>
      <c r="R73" s="18">
        <v>0</v>
      </c>
      <c r="S73" s="18">
        <v>0</v>
      </c>
      <c r="T73" s="18">
        <v>0</v>
      </c>
      <c r="U73" s="18">
        <v>0</v>
      </c>
      <c r="V73" s="15" t="s">
        <v>36</v>
      </c>
      <c r="W73" s="15" t="s">
        <v>36</v>
      </c>
      <c r="X73" s="15" t="s">
        <v>36</v>
      </c>
      <c r="Y73" s="15" t="s">
        <v>36</v>
      </c>
      <c r="Z73" s="15" t="s">
        <v>36</v>
      </c>
    </row>
    <row r="74" spans="1:26" ht="15.75" customHeight="1" x14ac:dyDescent="0.25">
      <c r="A74" s="15" t="s">
        <v>209</v>
      </c>
      <c r="B74" s="15" t="s">
        <v>210</v>
      </c>
      <c r="C74" s="15" t="s">
        <v>54</v>
      </c>
      <c r="D74" s="15" t="s">
        <v>36</v>
      </c>
      <c r="E74" s="15" t="s">
        <v>36</v>
      </c>
      <c r="F74" s="15" t="s">
        <v>36</v>
      </c>
      <c r="G74" s="15" t="s">
        <v>36</v>
      </c>
      <c r="H74" s="15" t="s">
        <v>36</v>
      </c>
      <c r="I74" s="15" t="s">
        <v>36</v>
      </c>
      <c r="J74" s="15" t="s">
        <v>36</v>
      </c>
      <c r="K74" s="15" t="s">
        <v>36</v>
      </c>
      <c r="L74" s="15" t="s">
        <v>36</v>
      </c>
      <c r="M74" s="15" t="s">
        <v>36</v>
      </c>
      <c r="N74" s="15" t="s">
        <v>36</v>
      </c>
      <c r="O74" s="15" t="s">
        <v>37</v>
      </c>
      <c r="P74" s="18">
        <v>120</v>
      </c>
      <c r="Q74" s="15" t="s">
        <v>38</v>
      </c>
      <c r="R74" s="18">
        <v>0</v>
      </c>
      <c r="S74" s="18">
        <v>0</v>
      </c>
      <c r="T74" s="18">
        <v>0</v>
      </c>
      <c r="U74" s="18">
        <v>0</v>
      </c>
      <c r="V74" s="15" t="s">
        <v>36</v>
      </c>
      <c r="W74" s="15" t="s">
        <v>36</v>
      </c>
      <c r="X74" s="15" t="s">
        <v>36</v>
      </c>
      <c r="Y74" s="15" t="s">
        <v>36</v>
      </c>
      <c r="Z74" s="15" t="s">
        <v>36</v>
      </c>
    </row>
    <row r="75" spans="1:26" ht="15.75" customHeight="1" x14ac:dyDescent="0.25">
      <c r="A75" s="15" t="s">
        <v>36</v>
      </c>
      <c r="B75" s="15" t="s">
        <v>36</v>
      </c>
      <c r="C75" s="15" t="s">
        <v>36</v>
      </c>
      <c r="D75" s="15" t="s">
        <v>36</v>
      </c>
      <c r="E75" s="15" t="s">
        <v>36</v>
      </c>
      <c r="F75" s="15" t="s">
        <v>36</v>
      </c>
      <c r="G75" s="15" t="s">
        <v>36</v>
      </c>
      <c r="H75" s="15" t="s">
        <v>36</v>
      </c>
      <c r="I75" s="15" t="s">
        <v>36</v>
      </c>
      <c r="J75" s="15" t="s">
        <v>36</v>
      </c>
      <c r="K75" s="15" t="s">
        <v>36</v>
      </c>
      <c r="L75" s="15" t="s">
        <v>36</v>
      </c>
      <c r="M75" s="15" t="s">
        <v>36</v>
      </c>
      <c r="N75" s="15" t="s">
        <v>36</v>
      </c>
      <c r="O75" s="15" t="s">
        <v>43</v>
      </c>
      <c r="P75" s="18">
        <v>12</v>
      </c>
      <c r="Q75" s="15" t="s">
        <v>38</v>
      </c>
      <c r="R75" s="18">
        <v>0</v>
      </c>
      <c r="S75" s="18">
        <v>0</v>
      </c>
      <c r="T75" s="18">
        <v>0</v>
      </c>
      <c r="U75" s="18">
        <v>0</v>
      </c>
      <c r="V75" s="15" t="s">
        <v>36</v>
      </c>
      <c r="W75" s="15" t="s">
        <v>36</v>
      </c>
      <c r="X75" s="15" t="s">
        <v>36</v>
      </c>
      <c r="Y75" s="15" t="s">
        <v>36</v>
      </c>
      <c r="Z75" s="15" t="s">
        <v>36</v>
      </c>
    </row>
    <row r="76" spans="1:26" ht="15.75" customHeight="1" x14ac:dyDescent="0.25"/>
    <row r="77" spans="1:26" ht="15.75" customHeight="1" x14ac:dyDescent="0.25"/>
    <row r="78" spans="1:26" ht="15.75" customHeight="1" x14ac:dyDescent="0.25"/>
    <row r="79" spans="1:26" ht="15.75" customHeight="1" x14ac:dyDescent="0.25"/>
    <row r="80" spans="1:2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3" sqref="D3"/>
    </sheetView>
  </sheetViews>
  <sheetFormatPr defaultColWidth="14.42578125" defaultRowHeight="15" customHeight="1" x14ac:dyDescent="0.25"/>
  <cols>
    <col min="1" max="1" width="16" customWidth="1"/>
    <col min="2" max="2" width="66.140625" customWidth="1"/>
    <col min="3" max="3" width="11.7109375" customWidth="1"/>
    <col min="4" max="4" width="16.42578125" customWidth="1"/>
    <col min="5" max="5" width="12.140625" customWidth="1"/>
    <col min="6" max="6" width="18.5703125" customWidth="1"/>
    <col min="7" max="26" width="8.7109375" customWidth="1"/>
  </cols>
  <sheetData>
    <row r="1" spans="1:26" x14ac:dyDescent="0.25">
      <c r="A1" s="1" t="s">
        <v>0</v>
      </c>
      <c r="B1" s="1" t="s">
        <v>2</v>
      </c>
      <c r="C1" s="1" t="s">
        <v>3</v>
      </c>
      <c r="D1" s="2" t="s">
        <v>5</v>
      </c>
      <c r="E1" s="4" t="s">
        <v>7</v>
      </c>
      <c r="F1" s="6" t="s">
        <v>11</v>
      </c>
    </row>
    <row r="2" spans="1:26" ht="15" customHeight="1" x14ac:dyDescent="0.25">
      <c r="A2" s="8" t="s">
        <v>17</v>
      </c>
      <c r="B2" s="8" t="s">
        <v>17</v>
      </c>
      <c r="C2" s="8" t="s">
        <v>21</v>
      </c>
      <c r="D2" s="10">
        <v>58850</v>
      </c>
      <c r="E2" s="12">
        <v>4</v>
      </c>
      <c r="F2" s="20">
        <f ca="1">IF(A2="","",E2-SUMIF('SL bán theo ngày'!$A$9:$A$82,A2,'SL bán theo ngày'!$AJ$9:$AJ$82))</f>
        <v>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22" t="s">
        <v>41</v>
      </c>
      <c r="B3" s="22" t="s">
        <v>42</v>
      </c>
      <c r="C3" s="22" t="s">
        <v>43</v>
      </c>
      <c r="D3" s="24">
        <v>28160.007099999999</v>
      </c>
      <c r="E3" s="26">
        <v>25</v>
      </c>
      <c r="F3" s="29">
        <f ca="1">IF(A3="","",E3-SUMIF('SL bán theo ngày'!$A$9:$A$82,A3,'SL bán theo ngày'!$AJ$9:$AJ$82))</f>
        <v>0</v>
      </c>
    </row>
    <row r="4" spans="1:26" ht="15" customHeight="1" x14ac:dyDescent="0.25">
      <c r="A4" s="22" t="s">
        <v>46</v>
      </c>
      <c r="B4" s="22" t="s">
        <v>47</v>
      </c>
      <c r="C4" s="22" t="s">
        <v>43</v>
      </c>
      <c r="D4" s="24">
        <v>15248.077499999999</v>
      </c>
      <c r="E4" s="26">
        <v>280</v>
      </c>
      <c r="F4" s="29">
        <f ca="1">IF(A4="","",E4-SUMIF('SL bán theo ngày'!$A$9:$A$82,A4,'SL bán theo ngày'!$AJ$9:$AJ$82))</f>
        <v>15</v>
      </c>
    </row>
    <row r="5" spans="1:26" ht="15" customHeight="1" x14ac:dyDescent="0.25">
      <c r="A5" s="22" t="s">
        <v>69</v>
      </c>
      <c r="B5" s="22" t="s">
        <v>71</v>
      </c>
      <c r="C5" s="22" t="s">
        <v>43</v>
      </c>
      <c r="D5" s="24">
        <v>38500.011299999998</v>
      </c>
      <c r="E5" s="26">
        <v>8</v>
      </c>
      <c r="F5" s="29">
        <f ca="1">IF(A5="","",E5-SUMIF('SL bán theo ngày'!$A$9:$A$82,A5,'SL bán theo ngày'!$AJ$9:$AJ$82))</f>
        <v>1</v>
      </c>
    </row>
    <row r="6" spans="1:26" ht="15" customHeight="1" x14ac:dyDescent="0.25">
      <c r="A6" s="22" t="s">
        <v>76</v>
      </c>
      <c r="B6" s="22" t="s">
        <v>77</v>
      </c>
      <c r="C6" s="22" t="s">
        <v>54</v>
      </c>
      <c r="D6" s="24">
        <v>2383.3307</v>
      </c>
      <c r="E6" s="26">
        <v>120</v>
      </c>
      <c r="F6" s="29">
        <f ca="1">IF(A6="","",E6-SUMIF('SL bán theo ngày'!$A$9:$A$82,A6,'SL bán theo ngày'!$AJ$9:$AJ$82))</f>
        <v>8</v>
      </c>
    </row>
    <row r="7" spans="1:26" ht="15" customHeight="1" x14ac:dyDescent="0.25">
      <c r="A7" s="22" t="s">
        <v>81</v>
      </c>
      <c r="B7" s="22" t="s">
        <v>82</v>
      </c>
      <c r="C7" s="22" t="s">
        <v>54</v>
      </c>
      <c r="D7" s="24">
        <v>550</v>
      </c>
      <c r="E7" s="26">
        <v>372</v>
      </c>
      <c r="F7" s="29">
        <f ca="1">IF(A7="","",E7-SUMIF('SL bán theo ngày'!$A$9:$A$82,A7,'SL bán theo ngày'!$AJ$9:$AJ$82))</f>
        <v>21</v>
      </c>
    </row>
    <row r="8" spans="1:26" ht="15" customHeight="1" x14ac:dyDescent="0.25">
      <c r="A8" s="22" t="s">
        <v>95</v>
      </c>
      <c r="B8" s="22" t="s">
        <v>96</v>
      </c>
      <c r="C8" s="22" t="s">
        <v>97</v>
      </c>
      <c r="D8" s="24">
        <v>4285.4429</v>
      </c>
      <c r="E8" s="26">
        <v>24</v>
      </c>
      <c r="F8" s="29">
        <f ca="1">IF(A8="","",E8-SUMIF('SL bán theo ngày'!$A$9:$A$82,A8,'SL bán theo ngày'!$AJ$9:$AJ$82))</f>
        <v>2</v>
      </c>
    </row>
    <row r="9" spans="1:26" ht="15" customHeight="1" x14ac:dyDescent="0.25">
      <c r="A9" s="22" t="s">
        <v>106</v>
      </c>
      <c r="B9" s="22" t="s">
        <v>107</v>
      </c>
      <c r="C9" s="22" t="s">
        <v>108</v>
      </c>
      <c r="D9" s="24">
        <v>7636.53</v>
      </c>
      <c r="E9" s="26">
        <v>20</v>
      </c>
      <c r="F9" s="29">
        <f ca="1">IF(A9="","",E9-SUMIF('SL bán theo ngày'!$A$9:$A$82,A9,'SL bán theo ngày'!$AJ$9:$AJ$82))</f>
        <v>2</v>
      </c>
    </row>
    <row r="10" spans="1:26" ht="15" customHeight="1" x14ac:dyDescent="0.25">
      <c r="A10" s="22" t="s">
        <v>111</v>
      </c>
      <c r="B10" s="22" t="s">
        <v>112</v>
      </c>
      <c r="C10" s="22" t="s">
        <v>54</v>
      </c>
      <c r="D10" s="24">
        <v>1375</v>
      </c>
      <c r="E10" s="26">
        <v>432</v>
      </c>
      <c r="F10" s="29">
        <f ca="1">IF(A10="","",E10-SUMIF('SL bán theo ngày'!$A$9:$A$82,A10,'SL bán theo ngày'!$AJ$9:$AJ$82))</f>
        <v>26</v>
      </c>
    </row>
    <row r="11" spans="1:26" ht="15" customHeight="1" x14ac:dyDescent="0.25">
      <c r="A11" s="22" t="s">
        <v>115</v>
      </c>
      <c r="B11" s="22" t="s">
        <v>116</v>
      </c>
      <c r="C11" s="22" t="s">
        <v>40</v>
      </c>
      <c r="D11" s="24">
        <v>5500</v>
      </c>
      <c r="E11" s="26">
        <v>144</v>
      </c>
      <c r="F11" s="29">
        <f ca="1">IF(A11="","",E11-SUMIF('SL bán theo ngày'!$A$9:$A$82,A11,'SL bán theo ngày'!$AJ$9:$AJ$82))</f>
        <v>9</v>
      </c>
    </row>
    <row r="12" spans="1:26" ht="15" customHeight="1" x14ac:dyDescent="0.25">
      <c r="A12" s="22" t="s">
        <v>121</v>
      </c>
      <c r="B12" s="22" t="s">
        <v>122</v>
      </c>
      <c r="C12" s="22" t="s">
        <v>51</v>
      </c>
      <c r="D12" s="24">
        <v>3941.6655999999998</v>
      </c>
      <c r="E12" s="26">
        <v>480</v>
      </c>
      <c r="F12" s="29">
        <f ca="1">IF(A12="","",E12-SUMIF('SL bán theo ngày'!$A$9:$A$82,A12,'SL bán theo ngày'!$AJ$9:$AJ$82))</f>
        <v>29</v>
      </c>
    </row>
    <row r="13" spans="1:26" ht="15" customHeight="1" x14ac:dyDescent="0.25">
      <c r="A13" s="22" t="s">
        <v>125</v>
      </c>
      <c r="B13" s="22" t="s">
        <v>126</v>
      </c>
      <c r="C13" s="22" t="s">
        <v>60</v>
      </c>
      <c r="D13" s="24">
        <v>828.98479999999995</v>
      </c>
      <c r="E13" s="26">
        <v>759</v>
      </c>
      <c r="F13" s="29">
        <f ca="1">IF(A13="","",E13-SUMIF('SL bán theo ngày'!$A$9:$A$82,A13,'SL bán theo ngày'!$AJ$9:$AJ$82))</f>
        <v>46</v>
      </c>
    </row>
    <row r="14" spans="1:26" ht="15" customHeight="1" x14ac:dyDescent="0.25">
      <c r="A14" s="22" t="s">
        <v>132</v>
      </c>
      <c r="B14" s="22" t="s">
        <v>133</v>
      </c>
      <c r="C14" s="22" t="s">
        <v>21</v>
      </c>
      <c r="D14" s="24">
        <v>61874.764300000003</v>
      </c>
      <c r="E14" s="26">
        <v>4</v>
      </c>
      <c r="F14" s="29">
        <f ca="1">IF(A14="","",E14-SUMIF('SL bán theo ngày'!$A$9:$A$82,A14,'SL bán theo ngày'!$AJ$9:$AJ$82))</f>
        <v>1</v>
      </c>
    </row>
    <row r="15" spans="1:26" ht="15" customHeight="1" x14ac:dyDescent="0.25">
      <c r="A15" s="22" t="s">
        <v>138</v>
      </c>
      <c r="B15" s="22" t="s">
        <v>139</v>
      </c>
      <c r="C15" s="22" t="s">
        <v>57</v>
      </c>
      <c r="D15" s="24">
        <v>2560</v>
      </c>
      <c r="E15" s="26">
        <v>500</v>
      </c>
      <c r="F15" s="29">
        <f ca="1">IF(A15="","",E15-SUMIF('SL bán theo ngày'!$A$9:$A$82,A15,'SL bán theo ngày'!$AJ$9:$AJ$82))</f>
        <v>30</v>
      </c>
    </row>
    <row r="16" spans="1:26" ht="15" customHeight="1" x14ac:dyDescent="0.25">
      <c r="A16" s="22"/>
      <c r="B16" s="22"/>
      <c r="C16" s="22"/>
      <c r="D16" s="24"/>
      <c r="E16" s="26"/>
      <c r="F16" s="29"/>
    </row>
    <row r="17" spans="1:6" ht="15" customHeight="1" x14ac:dyDescent="0.25">
      <c r="A17" s="22"/>
      <c r="B17" s="22"/>
      <c r="C17" s="22"/>
      <c r="D17" s="24"/>
      <c r="E17" s="26"/>
      <c r="F17" s="29"/>
    </row>
    <row r="18" spans="1:6" ht="15" customHeight="1" x14ac:dyDescent="0.25">
      <c r="A18" s="22"/>
      <c r="B18" s="22"/>
      <c r="C18" s="22"/>
      <c r="D18" s="24"/>
      <c r="E18" s="26"/>
      <c r="F18" s="29"/>
    </row>
    <row r="19" spans="1:6" ht="15" customHeight="1" x14ac:dyDescent="0.25">
      <c r="A19" s="22"/>
      <c r="B19" s="22"/>
      <c r="C19" s="22"/>
      <c r="D19" s="24"/>
      <c r="E19" s="26"/>
      <c r="F19" s="35"/>
    </row>
    <row r="20" spans="1:6" x14ac:dyDescent="0.25">
      <c r="A20" s="26"/>
      <c r="B20" s="26"/>
      <c r="C20" s="26"/>
      <c r="D20" s="24"/>
      <c r="E20" s="26"/>
      <c r="F20" s="36"/>
    </row>
    <row r="21" spans="1:6" ht="15.75" customHeight="1" x14ac:dyDescent="0.25">
      <c r="A21" s="26"/>
      <c r="B21" s="26"/>
      <c r="C21" s="26"/>
      <c r="D21" s="24"/>
      <c r="E21" s="26"/>
      <c r="F21" s="36"/>
    </row>
    <row r="22" spans="1:6" ht="15.75" customHeight="1" x14ac:dyDescent="0.25">
      <c r="A22" s="26"/>
      <c r="B22" s="26"/>
      <c r="C22" s="26"/>
      <c r="D22" s="24"/>
      <c r="E22" s="26"/>
      <c r="F22" s="36"/>
    </row>
    <row r="23" spans="1:6" ht="15.75" customHeight="1" x14ac:dyDescent="0.25">
      <c r="A23" s="26"/>
      <c r="B23" s="26"/>
      <c r="C23" s="26"/>
      <c r="D23" s="24"/>
      <c r="E23" s="26"/>
      <c r="F23" s="36"/>
    </row>
    <row r="24" spans="1:6" ht="15.75" customHeight="1" x14ac:dyDescent="0.25">
      <c r="A24" s="26"/>
      <c r="B24" s="26"/>
      <c r="C24" s="26"/>
      <c r="D24" s="24"/>
      <c r="E24" s="26"/>
      <c r="F24" s="36"/>
    </row>
    <row r="25" spans="1:6" ht="15.75" customHeight="1" x14ac:dyDescent="0.25">
      <c r="A25" s="26"/>
      <c r="B25" s="26"/>
      <c r="C25" s="26"/>
      <c r="D25" s="24"/>
      <c r="E25" s="26"/>
      <c r="F25" s="36"/>
    </row>
    <row r="26" spans="1:6" ht="15.75" customHeight="1" x14ac:dyDescent="0.25">
      <c r="A26" s="26"/>
      <c r="B26" s="26"/>
      <c r="C26" s="26"/>
      <c r="D26" s="24"/>
      <c r="E26" s="26"/>
      <c r="F26" s="36" t="str">
        <f>IF(A26="","",E26-SUMIF('SL bán theo ngày'!$A$9:$A$82,A26,'SL bán theo ngày'!$AJ$9:$AJ$82))</f>
        <v/>
      </c>
    </row>
    <row r="27" spans="1:6" ht="15.75" customHeight="1" x14ac:dyDescent="0.25">
      <c r="A27" s="26"/>
      <c r="B27" s="26"/>
      <c r="C27" s="26"/>
      <c r="D27" s="24"/>
      <c r="E27" s="26"/>
      <c r="F27" s="36" t="str">
        <f>IF(A27="","",E27-SUMIF('SL bán theo ngày'!$A$9:$A$82,A27,'SL bán theo ngày'!$AJ$9:$AJ$82))</f>
        <v/>
      </c>
    </row>
    <row r="28" spans="1:6" ht="15.75" customHeight="1" x14ac:dyDescent="0.25">
      <c r="A28" s="26"/>
      <c r="B28" s="26"/>
      <c r="C28" s="26"/>
      <c r="D28" s="24"/>
      <c r="E28" s="26"/>
      <c r="F28" s="36" t="str">
        <f>IF(A28="","",E28-SUMIF('SL bán theo ngày'!$A$9:$A$82,A28,'SL bán theo ngày'!$AJ$9:$AJ$82))</f>
        <v/>
      </c>
    </row>
    <row r="29" spans="1:6" ht="15.75" customHeight="1" x14ac:dyDescent="0.25">
      <c r="A29" s="26"/>
      <c r="B29" s="26"/>
      <c r="C29" s="26"/>
      <c r="D29" s="24"/>
      <c r="E29" s="26"/>
      <c r="F29" s="36" t="str">
        <f>IF(A29="","",E29-SUMIF('SL bán theo ngày'!$A$9:$A$82,A29,'SL bán theo ngày'!$AJ$9:$AJ$82))</f>
        <v/>
      </c>
    </row>
    <row r="30" spans="1:6" ht="15.75" customHeight="1" x14ac:dyDescent="0.25">
      <c r="A30" s="26"/>
      <c r="B30" s="26"/>
      <c r="C30" s="26"/>
      <c r="D30" s="24"/>
      <c r="E30" s="26"/>
      <c r="F30" s="36" t="str">
        <f>IF(A30="","",E30-SUMIF('SL bán theo ngày'!$A$9:$A$82,A30,'SL bán theo ngày'!$AJ$9:$AJ$82))</f>
        <v/>
      </c>
    </row>
    <row r="31" spans="1:6" ht="15.75" customHeight="1" x14ac:dyDescent="0.25">
      <c r="A31" s="26"/>
      <c r="B31" s="26"/>
      <c r="C31" s="26"/>
      <c r="D31" s="24"/>
      <c r="E31" s="26"/>
      <c r="F31" s="36" t="str">
        <f>IF(A31="","",E31-SUMIF('SL bán theo ngày'!$A$9:$A$82,A31,'SL bán theo ngày'!$AJ$9:$AJ$82))</f>
        <v/>
      </c>
    </row>
    <row r="32" spans="1:6" ht="15.75" customHeight="1" x14ac:dyDescent="0.25">
      <c r="A32" s="26"/>
      <c r="B32" s="26"/>
      <c r="C32" s="26"/>
      <c r="D32" s="24"/>
      <c r="E32" s="26"/>
      <c r="F32" s="36" t="str">
        <f>IF(A32="","",E32-SUMIF('SL bán theo ngày'!$A$9:$A$82,A32,'SL bán theo ngày'!$AJ$9:$AJ$82))</f>
        <v/>
      </c>
    </row>
    <row r="33" spans="1:6" ht="15.75" customHeight="1" x14ac:dyDescent="0.25">
      <c r="A33" s="36"/>
      <c r="B33" s="36"/>
      <c r="C33" s="36"/>
      <c r="D33" s="29"/>
      <c r="E33" s="36"/>
      <c r="F33" s="36" t="str">
        <f>IF(A33="","",E33-SUMIF('SL bán theo ngày'!$A$9:$A$82,A33,'SL bán theo ngày'!$AJ$9:$AJ$82))</f>
        <v/>
      </c>
    </row>
    <row r="34" spans="1:6" ht="15.75" customHeight="1" x14ac:dyDescent="0.25">
      <c r="A34" s="36"/>
      <c r="B34" s="36"/>
      <c r="C34" s="36"/>
      <c r="D34" s="29"/>
      <c r="E34" s="36"/>
      <c r="F34" s="36" t="str">
        <f>IF(A34="","",E34-SUMIF('SL bán theo ngày'!$A$9:$A$82,A34,'SL bán theo ngày'!$AJ$9:$AJ$82))</f>
        <v/>
      </c>
    </row>
    <row r="35" spans="1:6" ht="15.75" customHeight="1" x14ac:dyDescent="0.25">
      <c r="A35" s="36"/>
      <c r="B35" s="36"/>
      <c r="C35" s="36"/>
      <c r="D35" s="29"/>
      <c r="E35" s="36"/>
      <c r="F35" s="36" t="str">
        <f>IF(A35="","",E35-SUMIF('SL bán theo ngày'!$A$9:$A$82,A35,'SL bán theo ngày'!$AJ$9:$AJ$82))</f>
        <v/>
      </c>
    </row>
    <row r="36" spans="1:6" ht="15.75" customHeight="1" x14ac:dyDescent="0.25">
      <c r="A36" s="36"/>
      <c r="B36" s="36"/>
      <c r="C36" s="36"/>
      <c r="D36" s="29"/>
      <c r="E36" s="36"/>
      <c r="F36" s="36" t="str">
        <f>IF(A36="","",E36-SUMIF('SL bán theo ngày'!$A$9:$A$82,A36,'SL bán theo ngày'!$AJ$9:$AJ$82))</f>
        <v/>
      </c>
    </row>
    <row r="37" spans="1:6" ht="15.75" customHeight="1" x14ac:dyDescent="0.25">
      <c r="A37" s="36"/>
      <c r="B37" s="36"/>
      <c r="C37" s="36"/>
      <c r="D37" s="29"/>
      <c r="E37" s="36"/>
      <c r="F37" s="36" t="str">
        <f>IF(A37="","",E37-SUMIF('SL bán theo ngày'!$A$9:$A$82,A37,'SL bán theo ngày'!$AJ$9:$AJ$82))</f>
        <v/>
      </c>
    </row>
    <row r="38" spans="1:6" ht="15.75" customHeight="1" x14ac:dyDescent="0.25">
      <c r="A38" s="36"/>
      <c r="B38" s="36"/>
      <c r="C38" s="36"/>
      <c r="D38" s="29"/>
      <c r="E38" s="36"/>
      <c r="F38" s="36" t="str">
        <f>IF(A38="","",E38-SUMIF('SL bán theo ngày'!$A$9:$A$82,A38,'SL bán theo ngày'!$AJ$9:$AJ$82))</f>
        <v/>
      </c>
    </row>
    <row r="39" spans="1:6" ht="15.75" customHeight="1" x14ac:dyDescent="0.25">
      <c r="A39" s="36"/>
      <c r="B39" s="36"/>
      <c r="C39" s="36"/>
      <c r="D39" s="29"/>
      <c r="E39" s="36"/>
      <c r="F39" s="36" t="str">
        <f>IF(A39="","",E39-SUMIF('SL bán theo ngày'!$A$9:$A$82,A39,'SL bán theo ngày'!$AJ$9:$AJ$82))</f>
        <v/>
      </c>
    </row>
    <row r="40" spans="1:6" ht="15.75" customHeight="1" x14ac:dyDescent="0.25">
      <c r="A40" s="36"/>
      <c r="B40" s="36"/>
      <c r="C40" s="36"/>
      <c r="D40" s="29"/>
      <c r="E40" s="36"/>
      <c r="F40" s="36" t="str">
        <f>IF(A40="","",E40-SUMIF('SL bán theo ngày'!$A$9:$A$82,A40,'SL bán theo ngày'!$AJ$9:$AJ$82))</f>
        <v/>
      </c>
    </row>
    <row r="41" spans="1:6" ht="15.75" customHeight="1" x14ac:dyDescent="0.25">
      <c r="A41" s="36"/>
      <c r="B41" s="36"/>
      <c r="C41" s="36"/>
      <c r="D41" s="29"/>
      <c r="E41" s="36"/>
      <c r="F41" s="36" t="str">
        <f>IF(A41="","",E41-SUMIF('SL bán theo ngày'!$A$9:$A$82,A41,'SL bán theo ngày'!$AJ$9:$AJ$82))</f>
        <v/>
      </c>
    </row>
    <row r="42" spans="1:6" ht="15.75" customHeight="1" x14ac:dyDescent="0.25">
      <c r="A42" s="36"/>
      <c r="B42" s="36"/>
      <c r="C42" s="36"/>
      <c r="D42" s="29"/>
      <c r="E42" s="36"/>
      <c r="F42" s="36" t="str">
        <f>IF(A42="","",E42-SUMIF('SL bán theo ngày'!$A$9:$A$82,A42,'SL bán theo ngày'!$AJ$9:$AJ$82))</f>
        <v/>
      </c>
    </row>
    <row r="43" spans="1:6" ht="15.75" customHeight="1" x14ac:dyDescent="0.25">
      <c r="A43" s="36"/>
      <c r="B43" s="36"/>
      <c r="C43" s="36"/>
      <c r="D43" s="36"/>
      <c r="E43" s="36"/>
      <c r="F43" s="36" t="str">
        <f>IF(A43="","",E43-SUMIF('SL bán theo ngày'!$A$9:$A$82,A43,'SL bán theo ngày'!$AJ$9:$AJ$82))</f>
        <v/>
      </c>
    </row>
    <row r="44" spans="1:6" ht="15.75" customHeight="1" x14ac:dyDescent="0.25">
      <c r="A44" s="36"/>
      <c r="B44" s="36"/>
      <c r="C44" s="36"/>
      <c r="D44" s="36"/>
      <c r="E44" s="36"/>
      <c r="F44" s="36" t="str">
        <f>IF(A44="","",E44-SUMIF('SL bán theo ngày'!$A$9:$A$82,A44,'SL bán theo ngày'!$AJ$9:$AJ$82))</f>
        <v/>
      </c>
    </row>
    <row r="45" spans="1:6" ht="15.75" customHeight="1" x14ac:dyDescent="0.25">
      <c r="A45" s="36"/>
      <c r="B45" s="36"/>
      <c r="C45" s="36"/>
      <c r="D45" s="36"/>
      <c r="E45" s="36"/>
      <c r="F45" s="36" t="str">
        <f>IF(A45="","",E45-SUMIF('SL bán theo ngày'!$A$9:$A$82,A45,'SL bán theo ngày'!$AJ$9:$AJ$82))</f>
        <v/>
      </c>
    </row>
    <row r="46" spans="1:6" ht="15.75" customHeight="1" x14ac:dyDescent="0.25">
      <c r="A46" s="36"/>
      <c r="B46" s="36"/>
      <c r="C46" s="36"/>
      <c r="D46" s="36"/>
      <c r="E46" s="36"/>
      <c r="F46" s="36" t="str">
        <f>IF(A46="","",E46-SUMIF('SL bán theo ngày'!$A$9:$A$82,A46,'SL bán theo ngày'!$AJ$9:$AJ$82))</f>
        <v/>
      </c>
    </row>
    <row r="47" spans="1:6" ht="15.75" customHeight="1" x14ac:dyDescent="0.25">
      <c r="A47" s="36"/>
      <c r="B47" s="36"/>
      <c r="C47" s="36"/>
      <c r="D47" s="36"/>
      <c r="E47" s="36"/>
      <c r="F47" s="36" t="str">
        <f>IF(A47="","",E47-SUMIF('SL bán theo ngày'!$A$9:$A$82,A47,'SL bán theo ngày'!$AJ$9:$AJ$82))</f>
        <v/>
      </c>
    </row>
    <row r="48" spans="1:6" ht="15.75" customHeight="1" x14ac:dyDescent="0.25">
      <c r="A48" s="36"/>
      <c r="B48" s="36"/>
      <c r="C48" s="36"/>
      <c r="D48" s="36"/>
      <c r="E48" s="36"/>
      <c r="F48" s="36" t="str">
        <f>IF(A48="","",E48-SUMIF('SL bán theo ngày'!$A$9:$A$82,A48,'SL bán theo ngày'!$AJ$9:$AJ$82))</f>
        <v/>
      </c>
    </row>
    <row r="49" spans="1:6" ht="15.75" customHeight="1" x14ac:dyDescent="0.25">
      <c r="A49" s="36"/>
      <c r="B49" s="36"/>
      <c r="C49" s="36"/>
      <c r="D49" s="36"/>
      <c r="E49" s="36"/>
      <c r="F49" s="36" t="str">
        <f>IF(A49="","",E49-SUMIF('SL bán theo ngày'!$A$9:$A$82,A49,'SL bán theo ngày'!$AJ$9:$AJ$82))</f>
        <v/>
      </c>
    </row>
    <row r="50" spans="1:6" ht="15.75" customHeight="1" x14ac:dyDescent="0.25">
      <c r="A50" s="36"/>
      <c r="B50" s="36"/>
      <c r="C50" s="36"/>
      <c r="D50" s="36"/>
      <c r="E50" s="36"/>
      <c r="F50" s="36" t="str">
        <f>IF(A50="","",E50-SUMIF('SL bán theo ngày'!$A$9:$A$82,A50,'SL bán theo ngày'!$AJ$9:$AJ$82))</f>
        <v/>
      </c>
    </row>
    <row r="51" spans="1:6" ht="15.75" customHeight="1" x14ac:dyDescent="0.25">
      <c r="A51" s="36"/>
      <c r="B51" s="36"/>
      <c r="C51" s="36"/>
      <c r="D51" s="36"/>
      <c r="E51" s="36"/>
      <c r="F51" s="36" t="str">
        <f>IF(A51="","",E51-SUMIF('SL bán theo ngày'!$A$9:$A$82,A51,'SL bán theo ngày'!$AJ$9:$AJ$82))</f>
        <v/>
      </c>
    </row>
    <row r="52" spans="1:6" ht="15.75" customHeight="1" x14ac:dyDescent="0.25">
      <c r="A52" s="36"/>
      <c r="B52" s="36"/>
      <c r="C52" s="36"/>
      <c r="D52" s="36"/>
      <c r="E52" s="36"/>
      <c r="F52" s="36" t="str">
        <f>IF(A52="","",E52-SUMIF('SL bán theo ngày'!$A$9:$A$82,A52,'SL bán theo ngày'!$AJ$9:$AJ$82))</f>
        <v/>
      </c>
    </row>
    <row r="53" spans="1:6" ht="15.75" customHeight="1" x14ac:dyDescent="0.25">
      <c r="A53" s="36"/>
      <c r="B53" s="36"/>
      <c r="C53" s="36"/>
      <c r="D53" s="36"/>
      <c r="E53" s="36"/>
      <c r="F53" s="36" t="str">
        <f>IF(A53="","",E53-SUMIF('SL bán theo ngày'!$A$9:$A$82,A53,'SL bán theo ngày'!$AJ$9:$AJ$82))</f>
        <v/>
      </c>
    </row>
    <row r="54" spans="1:6" ht="15.75" customHeight="1" x14ac:dyDescent="0.25">
      <c r="A54" s="36"/>
      <c r="B54" s="36"/>
      <c r="C54" s="36"/>
      <c r="D54" s="36"/>
      <c r="E54" s="36"/>
      <c r="F54" s="36" t="str">
        <f>IF(A54="","",E54-SUMIF('SL bán theo ngày'!$A$9:$A$82,A54,'SL bán theo ngày'!$AJ$9:$AJ$82))</f>
        <v/>
      </c>
    </row>
    <row r="55" spans="1:6" ht="15.75" customHeight="1" x14ac:dyDescent="0.25">
      <c r="A55" s="36"/>
      <c r="B55" s="36"/>
      <c r="C55" s="36"/>
      <c r="D55" s="36"/>
      <c r="E55" s="36"/>
      <c r="F55" s="36" t="str">
        <f>IF(A55="","",E55-SUMIF('SL bán theo ngày'!$A$9:$A$82,A55,'SL bán theo ngày'!$AJ$9:$AJ$82))</f>
        <v/>
      </c>
    </row>
    <row r="56" spans="1:6" ht="15.75" customHeight="1" x14ac:dyDescent="0.25">
      <c r="A56" s="36"/>
      <c r="B56" s="36"/>
      <c r="C56" s="36"/>
      <c r="D56" s="36"/>
      <c r="E56" s="36"/>
      <c r="F56" s="36" t="str">
        <f>IF(A56="","",E56-SUMIF('SL bán theo ngày'!$A$9:$A$82,A56,'SL bán theo ngày'!$AJ$9:$AJ$82))</f>
        <v/>
      </c>
    </row>
    <row r="57" spans="1:6" ht="15.75" customHeight="1" x14ac:dyDescent="0.25">
      <c r="A57" s="36"/>
      <c r="B57" s="36"/>
      <c r="C57" s="36"/>
      <c r="D57" s="36"/>
      <c r="E57" s="36"/>
      <c r="F57" s="36" t="str">
        <f>IF(A57="","",E57-SUMIF('SL bán theo ngày'!$A$9:$A$82,A57,'SL bán theo ngày'!$AJ$9:$AJ$82))</f>
        <v/>
      </c>
    </row>
    <row r="58" spans="1:6" ht="15.75" customHeight="1" x14ac:dyDescent="0.25">
      <c r="A58" s="36"/>
      <c r="B58" s="36"/>
      <c r="C58" s="36"/>
      <c r="D58" s="36"/>
      <c r="E58" s="36"/>
      <c r="F58" s="36" t="str">
        <f>IF(A58="","",E58-SUMIF('SL bán theo ngày'!$A$9:$A$82,A58,'SL bán theo ngày'!$AJ$9:$AJ$82))</f>
        <v/>
      </c>
    </row>
    <row r="59" spans="1:6" ht="15.75" customHeight="1" x14ac:dyDescent="0.25">
      <c r="A59" s="36"/>
      <c r="B59" s="36"/>
      <c r="C59" s="36"/>
      <c r="D59" s="36"/>
      <c r="E59" s="36"/>
      <c r="F59" s="36" t="str">
        <f>IF(A59="","",E59-SUMIF('SL bán theo ngày'!$A$9:$A$82,A59,'SL bán theo ngày'!$AJ$9:$AJ$82))</f>
        <v/>
      </c>
    </row>
    <row r="60" spans="1:6" ht="15.75" customHeight="1" x14ac:dyDescent="0.25">
      <c r="A60" s="36"/>
      <c r="B60" s="36"/>
      <c r="C60" s="36"/>
      <c r="D60" s="36"/>
      <c r="E60" s="36"/>
      <c r="F60" s="36" t="str">
        <f>IF(A60="","",E60-SUMIF('SL bán theo ngày'!$A$9:$A$82,A60,'SL bán theo ngày'!$AJ$9:$AJ$82))</f>
        <v/>
      </c>
    </row>
    <row r="61" spans="1:6" ht="15.75" customHeight="1" x14ac:dyDescent="0.25">
      <c r="A61" s="36"/>
      <c r="B61" s="36"/>
      <c r="C61" s="36"/>
      <c r="D61" s="36"/>
      <c r="E61" s="36"/>
      <c r="F61" s="36" t="str">
        <f>IF(A61="","",E61-SUMIF('SL bán theo ngày'!$A$9:$A$82,A61,'SL bán theo ngày'!$AJ$9:$AJ$82))</f>
        <v/>
      </c>
    </row>
    <row r="62" spans="1:6" ht="15.75" customHeight="1" x14ac:dyDescent="0.25">
      <c r="A62" s="36"/>
      <c r="B62" s="36"/>
      <c r="C62" s="36"/>
      <c r="D62" s="36"/>
      <c r="E62" s="36"/>
      <c r="F62" s="36" t="str">
        <f>IF(A62="","",E62-SUMIF('SL bán theo ngày'!$A$9:$A$82,A62,'SL bán theo ngày'!$AJ$9:$AJ$82))</f>
        <v/>
      </c>
    </row>
    <row r="63" spans="1:6" ht="15.75" customHeight="1" x14ac:dyDescent="0.25">
      <c r="A63" s="36"/>
      <c r="B63" s="36"/>
      <c r="C63" s="36"/>
      <c r="D63" s="36"/>
      <c r="E63" s="36"/>
      <c r="F63" s="36" t="str">
        <f>IF(A63="","",E63-SUMIF('SL bán theo ngày'!$A$9:$A$82,A63,'SL bán theo ngày'!$AJ$9:$AJ$82))</f>
        <v/>
      </c>
    </row>
    <row r="64" spans="1:6" ht="15.75" customHeight="1" x14ac:dyDescent="0.25">
      <c r="A64" s="36"/>
      <c r="B64" s="36"/>
      <c r="C64" s="36"/>
      <c r="D64" s="36"/>
      <c r="E64" s="36"/>
      <c r="F64" s="36" t="str">
        <f>IF(A64="","",E64-SUMIF('SL bán theo ngày'!$A$9:$A$82,A64,'SL bán theo ngày'!$AJ$9:$AJ$82))</f>
        <v/>
      </c>
    </row>
    <row r="65" spans="1:6" ht="15.75" customHeight="1" x14ac:dyDescent="0.25">
      <c r="A65" s="36"/>
      <c r="B65" s="36"/>
      <c r="C65" s="36"/>
      <c r="D65" s="36"/>
      <c r="E65" s="36"/>
      <c r="F65" s="36" t="str">
        <f>IF(A65="","",E65-SUMIF('SL bán theo ngày'!$A$9:$A$82,A65,'SL bán theo ngày'!$AJ$9:$AJ$82))</f>
        <v/>
      </c>
    </row>
    <row r="66" spans="1:6" ht="15.75" customHeight="1" x14ac:dyDescent="0.25">
      <c r="A66" s="36"/>
      <c r="B66" s="36"/>
      <c r="C66" s="36"/>
      <c r="D66" s="36"/>
      <c r="E66" s="36"/>
      <c r="F66" s="36" t="str">
        <f>IF(A66="","",E66-SUMIF('SL bán theo ngày'!$A$9:$A$82,A66,'SL bán theo ngày'!$AJ$9:$AJ$82))</f>
        <v/>
      </c>
    </row>
    <row r="67" spans="1:6" ht="15.75" customHeight="1" x14ac:dyDescent="0.25">
      <c r="A67" s="36"/>
      <c r="B67" s="36"/>
      <c r="C67" s="36"/>
      <c r="D67" s="36"/>
      <c r="E67" s="36"/>
      <c r="F67" s="36" t="str">
        <f>IF(A67="","",E67-SUMIF('SL bán theo ngày'!$A$9:$A$82,A67,'SL bán theo ngày'!$AJ$9:$AJ$82))</f>
        <v/>
      </c>
    </row>
    <row r="68" spans="1:6" ht="15.75" customHeight="1" x14ac:dyDescent="0.25">
      <c r="A68" s="36"/>
      <c r="B68" s="36"/>
      <c r="C68" s="36"/>
      <c r="D68" s="36"/>
      <c r="E68" s="36"/>
      <c r="F68" s="36" t="str">
        <f>IF(A68="","",E68-SUMIF('SL bán theo ngày'!$A$9:$A$82,A68,'SL bán theo ngày'!$AJ$9:$AJ$82))</f>
        <v/>
      </c>
    </row>
    <row r="69" spans="1:6" ht="15.75" customHeight="1" x14ac:dyDescent="0.25">
      <c r="A69" s="36"/>
      <c r="B69" s="36"/>
      <c r="C69" s="36"/>
      <c r="D69" s="36"/>
      <c r="E69" s="36"/>
      <c r="F69" s="36" t="str">
        <f>IF(A69="","",E69-SUMIF('SL bán theo ngày'!$A$9:$A$82,A69,'SL bán theo ngày'!$AJ$9:$AJ$82))</f>
        <v/>
      </c>
    </row>
    <row r="70" spans="1:6" ht="15.75" customHeight="1" x14ac:dyDescent="0.25">
      <c r="A70" s="36"/>
      <c r="B70" s="36"/>
      <c r="C70" s="36"/>
      <c r="D70" s="36"/>
      <c r="E70" s="36"/>
      <c r="F70" s="36" t="str">
        <f>IF(A70="","",E70-SUMIF('SL bán theo ngày'!$A$9:$A$82,A70,'SL bán theo ngày'!$AJ$9:$AJ$82))</f>
        <v/>
      </c>
    </row>
    <row r="71" spans="1:6" ht="15.75" customHeight="1" x14ac:dyDescent="0.25">
      <c r="A71" s="36"/>
      <c r="B71" s="36"/>
      <c r="C71" s="36"/>
      <c r="D71" s="36"/>
      <c r="E71" s="36"/>
      <c r="F71" s="36" t="str">
        <f>IF(A71="","",E71-SUMIF('SL bán theo ngày'!$A$9:$A$82,A71,'SL bán theo ngày'!$AJ$9:$AJ$82))</f>
        <v/>
      </c>
    </row>
    <row r="72" spans="1:6" ht="15.75" customHeight="1" x14ac:dyDescent="0.25">
      <c r="A72" s="36"/>
      <c r="B72" s="36"/>
      <c r="C72" s="36"/>
      <c r="D72" s="36"/>
      <c r="E72" s="36"/>
      <c r="F72" s="36" t="str">
        <f>IF(A72="","",E72-SUMIF('SL bán theo ngày'!$A$9:$A$82,A72,'SL bán theo ngày'!$AJ$9:$AJ$82))</f>
        <v/>
      </c>
    </row>
    <row r="73" spans="1:6" ht="15.75" customHeight="1" x14ac:dyDescent="0.25">
      <c r="A73" s="36"/>
      <c r="B73" s="36"/>
      <c r="C73" s="36"/>
      <c r="D73" s="36"/>
      <c r="E73" s="36"/>
      <c r="F73" s="36" t="str">
        <f>IF(A73="","",E73-SUMIF('SL bán theo ngày'!$A$9:$A$82,A73,'SL bán theo ngày'!$AJ$9:$AJ$82))</f>
        <v/>
      </c>
    </row>
    <row r="74" spans="1:6" ht="15.75" customHeight="1" x14ac:dyDescent="0.25">
      <c r="A74" s="36"/>
      <c r="B74" s="36"/>
      <c r="C74" s="36"/>
      <c r="D74" s="36"/>
      <c r="E74" s="36"/>
      <c r="F74" s="36" t="str">
        <f>IF(A74="","",E74-SUMIF('SL bán theo ngày'!$A$9:$A$82,A74,'SL bán theo ngày'!$AJ$9:$AJ$82))</f>
        <v/>
      </c>
    </row>
    <row r="75" spans="1:6" ht="15.75" customHeight="1" x14ac:dyDescent="0.25">
      <c r="A75" s="36"/>
      <c r="B75" s="36"/>
      <c r="C75" s="36"/>
      <c r="D75" s="36"/>
      <c r="E75" s="36"/>
      <c r="F75" s="36" t="str">
        <f>IF(A75="","",E75-SUMIF('SL bán theo ngày'!$A$9:$A$82,A75,'SL bán theo ngày'!$AJ$9:$AJ$82))</f>
        <v/>
      </c>
    </row>
    <row r="76" spans="1:6" ht="15.75" customHeight="1" x14ac:dyDescent="0.25">
      <c r="A76" s="36"/>
      <c r="B76" s="36"/>
      <c r="C76" s="36"/>
      <c r="D76" s="36"/>
      <c r="E76" s="36"/>
      <c r="F76" s="36"/>
    </row>
    <row r="77" spans="1:6" ht="15.75" customHeight="1" x14ac:dyDescent="0.25">
      <c r="A77" s="36"/>
      <c r="B77" s="36"/>
      <c r="C77" s="36"/>
      <c r="D77" s="36"/>
      <c r="E77" s="36"/>
      <c r="F77" s="36"/>
    </row>
    <row r="78" spans="1:6" ht="15.75" customHeight="1" x14ac:dyDescent="0.25"/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20.5703125" customWidth="1"/>
    <col min="2" max="2" width="37.42578125" customWidth="1"/>
    <col min="3" max="3" width="5.140625" customWidth="1"/>
    <col min="4" max="4" width="15.7109375" customWidth="1"/>
    <col min="5" max="5" width="8.5703125" customWidth="1"/>
    <col min="6" max="6" width="8.42578125" customWidth="1"/>
    <col min="7" max="7" width="10.85546875" customWidth="1"/>
    <col min="8" max="8" width="8.5703125" customWidth="1"/>
    <col min="9" max="9" width="11.5703125" customWidth="1"/>
    <col min="10" max="10" width="12" hidden="1" customWidth="1"/>
  </cols>
  <sheetData>
    <row r="1" spans="1:10" ht="19.5" x14ac:dyDescent="0.3">
      <c r="A1" s="84" t="s">
        <v>1</v>
      </c>
      <c r="B1" s="85"/>
      <c r="C1" s="85"/>
      <c r="D1" s="85"/>
      <c r="E1" s="85"/>
      <c r="F1" s="85"/>
      <c r="G1" s="85"/>
      <c r="H1" s="86"/>
    </row>
    <row r="2" spans="1:10" ht="30" customHeight="1" x14ac:dyDescent="0.25">
      <c r="A2" s="87" t="s">
        <v>18</v>
      </c>
      <c r="B2" s="85"/>
      <c r="C2" s="85"/>
      <c r="D2" s="85"/>
      <c r="E2" s="85"/>
      <c r="F2" s="85"/>
      <c r="G2" s="85"/>
      <c r="H2" s="86"/>
    </row>
    <row r="3" spans="1:10" ht="17.25" x14ac:dyDescent="0.3">
      <c r="A3" s="14" t="s">
        <v>31</v>
      </c>
      <c r="B3" s="19">
        <v>415000</v>
      </c>
      <c r="C3" s="14"/>
      <c r="D3" s="14" t="s">
        <v>44</v>
      </c>
      <c r="E3" s="28">
        <f>SUM(G7:G80)</f>
        <v>415998</v>
      </c>
      <c r="F3" s="14"/>
      <c r="G3" s="14" t="s">
        <v>61</v>
      </c>
      <c r="H3" s="30">
        <f>E3-B3</f>
        <v>998</v>
      </c>
    </row>
    <row r="4" spans="1:10" x14ac:dyDescent="0.25">
      <c r="A4" s="14" t="s">
        <v>73</v>
      </c>
      <c r="B4" s="88" t="str">
        <f>IF(B3&lt;=0,"Hãy nhập tổng tiền",IF(ABS(H3)&lt;=500,"Đã khớp gần đúng","Còn chênh lệch do giới hạn tồn kho/đơn giá"))</f>
        <v>Còn chênh lệch do giới hạn tồn kho/đơn giá</v>
      </c>
      <c r="C4" s="85"/>
      <c r="D4" s="85"/>
      <c r="E4" s="85"/>
      <c r="F4" s="85"/>
      <c r="G4" s="85"/>
      <c r="H4" s="86"/>
    </row>
    <row r="6" spans="1:10" ht="45" x14ac:dyDescent="0.25">
      <c r="A6" s="32" t="s">
        <v>83</v>
      </c>
      <c r="B6" s="32" t="s">
        <v>84</v>
      </c>
      <c r="C6" s="32" t="s">
        <v>85</v>
      </c>
      <c r="D6" s="32" t="s">
        <v>88</v>
      </c>
      <c r="E6" s="32" t="s">
        <v>89</v>
      </c>
      <c r="F6" s="32" t="s">
        <v>90</v>
      </c>
      <c r="G6" s="32" t="s">
        <v>91</v>
      </c>
      <c r="H6" s="32" t="s">
        <v>92</v>
      </c>
      <c r="I6" s="33" t="s">
        <v>93</v>
      </c>
      <c r="J6" s="33" t="s">
        <v>94</v>
      </c>
    </row>
    <row r="7" spans="1:10" x14ac:dyDescent="0.25">
      <c r="A7" s="33" t="str">
        <f t="array" ref="A7">IF(ROWS($A$7:A7)&gt;COUNTIF('T4.2026'!$A$2:$A$75,"?*"),"",INDEX('T4.2026'!A:A,INDEX($I$7:$I$80,MATCH(SMALL($J$7:$J$80,ROWS($A$7:A7)),$J$7:$J$80,0))))</f>
        <v>VP26_40</v>
      </c>
      <c r="B7" s="37" t="str">
        <f t="array" ref="B7">IF($A7="","",INDEX('T4.2026'!B:B,INDEX($I$7:$I$80,MATCH(SMALL($J$7:$J$80,ROWS($A$7:A7)),$J$7:$J$80,0))))</f>
        <v>Coke 300ml - Coca Chai Nhí 5K</v>
      </c>
      <c r="C7" s="33" t="str">
        <f t="array" ref="C7">IF($A7="","",INDEX('T4.2026'!C:C,INDEX($I$7:$I$80,MATCH(SMALL($J$7:$J$80,ROWS($A$7:A7)),$J$7:$J$80,0))))</f>
        <v>Chai</v>
      </c>
      <c r="D7" s="38">
        <f t="array" ref="D7">IF($A7="","",ROUND(INDEX('T4.2026'!D:D,INDEX($I$7:$I$80,MATCH(SMALL($J$7:$J$80,ROWS($A$7:A7)),$J$7:$J$80,0))),0))</f>
        <v>4285</v>
      </c>
      <c r="E7" s="38">
        <f t="array" ref="E7">IF($A7="","",INDEX('T4.2026'!E:E,INDEX($I$7:$I$80,MATCH(SMALL($J$7:$J$80,ROWS($A$7:A7)),$J$7:$J$80,0))))</f>
        <v>24</v>
      </c>
      <c r="F7" s="38">
        <f t="array" ref="F7">IF($A7="","",IF(ROWS($A$7:A7)=COUNTIF('T4.2026'!$A$2:$A$75,"?*"),MIN(E7,MAX(0,ROUND(($B$3-SUM($G$6:G6))/D7,0))),MIN(E7,MAX(0,ROUNDDOWN(($B$3*(E7*(0.5+MOD(ABS(SIN($B$3*0.001+ROW()*12.9898))*43758.5453,1)))/SUMPRODUCT($E$7:$E$80,0.5+MOD(ABS(SIN($B$3*0.001+ROW($E$7:$E$80)*12.9898))*43758.5453,1)))/D7,0)))))</f>
        <v>0</v>
      </c>
      <c r="G7" s="38">
        <f t="shared" ref="G7:G80" si="0">IF($A7="","",F7*D7)</f>
        <v>0</v>
      </c>
      <c r="H7" s="38">
        <f t="shared" ref="H7:H80" si="1">IF($A7="","",E7-F7)</f>
        <v>24</v>
      </c>
      <c r="I7" s="33">
        <f>IF(ROWS($I$7:I7)&lt;=COUNTIF('T4.2026'!$A$2:$A$75,"?*"),ROWS($I$7:I7)+1,"")</f>
        <v>2</v>
      </c>
      <c r="J7" s="33">
        <f t="shared" ref="J7:J80" si="2">IF(I7="",1E+99,MOD(ABS(SIN($B$3*0.001+I7*12.9898))*43758.5453,1))</f>
        <v>0.8270885091405944</v>
      </c>
    </row>
    <row r="8" spans="1:10" x14ac:dyDescent="0.25">
      <c r="A8" s="33" t="str">
        <f t="array" ref="A8">IF(ROWS($A$7:A8)&gt;COUNTIF('T4.2026'!$A$2:$A$75,"?*"),"",INDEX('T4.2026'!A:A,INDEX($I$7:$I$80,MATCH(SMALL($J$7:$J$80,ROWS($A$7:A8)),$J$7:$J$80,0))))</f>
        <v>VP26_43</v>
      </c>
      <c r="B8" s="37" t="str">
        <f t="array" ref="B8">IF($A8="","",INDEX('T4.2026'!B:B,INDEX($I$7:$I$80,MATCH(SMALL($J$7:$J$80,ROWS($A$7:A8)),$J$7:$J$80,0))))</f>
        <v>Thạch SUSO Cây Dài (24 cái)</v>
      </c>
      <c r="C8" s="33" t="str">
        <f t="array" ref="C8">IF($A8="","",INDEX('T4.2026'!C:C,INDEX($I$7:$I$80,MATCH(SMALL($J$7:$J$80,ROWS($A$7:A8)),$J$7:$J$80,0))))</f>
        <v>Cái</v>
      </c>
      <c r="D8" s="38">
        <f t="array" ref="D8">IF($A8="","",ROUND(INDEX('T4.2026'!D:D,INDEX($I$7:$I$80,MATCH(SMALL($J$7:$J$80,ROWS($A$7:A8)),$J$7:$J$80,0))),0))</f>
        <v>1375</v>
      </c>
      <c r="E8" s="38">
        <f t="array" ref="E8">IF($A8="","",INDEX('T4.2026'!E:E,INDEX($I$7:$I$80,MATCH(SMALL($J$7:$J$80,ROWS($A$7:A8)),$J$7:$J$80,0))))</f>
        <v>432</v>
      </c>
      <c r="F8" s="38">
        <f t="array" ref="F8">IF($A8="","",IF(ROWS($A$7:A8)=COUNTIF('T4.2026'!$A$2:$A$75,"?*"),MIN(E8,MAX(0,ROUND(($B$3-SUM($G$6:G7))/D8,0))),MIN(E8,MAX(0,ROUNDDOWN(($B$3*(E8*(0.5+MOD(ABS(SIN($B$3*0.001+ROW()*12.9898))*43758.5453,1)))/SUMPRODUCT($E$7:$E$80,0.5+MOD(ABS(SIN($B$3*0.001+ROW($E$7:$E$80)*12.9898))*43758.5453,1)))/D8,0)))))</f>
        <v>27</v>
      </c>
      <c r="G8" s="38">
        <f t="shared" si="0"/>
        <v>37125</v>
      </c>
      <c r="H8" s="38">
        <f t="shared" si="1"/>
        <v>405</v>
      </c>
      <c r="I8" s="33">
        <f>IF(ROWS($I$7:I8)&lt;=COUNTIF('T4.2026'!$A$2:$A$75,"?*"),ROWS($I$7:I8)+1,"")</f>
        <v>3</v>
      </c>
      <c r="J8" s="33">
        <f t="shared" si="2"/>
        <v>0.66858763337950222</v>
      </c>
    </row>
    <row r="9" spans="1:10" x14ac:dyDescent="0.25">
      <c r="A9" s="33" t="str">
        <f t="array" ref="A9">IF(ROWS($A$7:A9)&gt;COUNTIF('T4.2026'!$A$2:$A$75,"?*"),"",INDEX('T4.2026'!A:A,INDEX($I$7:$I$80,MATCH(SMALL($J$7:$J$80,ROWS($A$7:A9)),$J$7:$J$80,0))))</f>
        <v>VP26_13</v>
      </c>
      <c r="B9" s="37" t="str">
        <f t="array" ref="B9">IF($A9="","",INDEX('T4.2026'!B:B,INDEX($I$7:$I$80,MATCH(SMALL($J$7:$J$80,ROWS($A$7:A9)),$J$7:$J$80,0))))</f>
        <v>Bánh Chấm 330g PC (12 cái)</v>
      </c>
      <c r="C9" s="33" t="str">
        <f t="array" ref="C9">IF($A9="","",INDEX('T4.2026'!C:C,INDEX($I$7:$I$80,MATCH(SMALL($J$7:$J$80,ROWS($A$7:A9)),$J$7:$J$80,0))))</f>
        <v>Cái</v>
      </c>
      <c r="D9" s="38">
        <f t="array" ref="D9">IF($A9="","",ROUND(INDEX('T4.2026'!D:D,INDEX($I$7:$I$80,MATCH(SMALL($J$7:$J$80,ROWS($A$7:A9)),$J$7:$J$80,0))),0))</f>
        <v>2383</v>
      </c>
      <c r="E9" s="38">
        <f t="array" ref="E9">IF($A9="","",INDEX('T4.2026'!E:E,INDEX($I$7:$I$80,MATCH(SMALL($J$7:$J$80,ROWS($A$7:A9)),$J$7:$J$80,0))))</f>
        <v>120</v>
      </c>
      <c r="F9" s="38">
        <f t="array" ref="F9">IF($A9="","",IF(ROWS($A$7:A9)=COUNTIF('T4.2026'!$A$2:$A$75,"?*"),MIN(E9,MAX(0,ROUND(($B$3-SUM($G$6:G8))/D9,0))),MIN(E9,MAX(0,ROUNDDOWN(($B$3*(E9*(0.5+MOD(ABS(SIN($B$3*0.001+ROW()*12.9898))*43758.5453,1)))/SUMPRODUCT($E$7:$E$80,0.5+MOD(ABS(SIN($B$3*0.001+ROW($E$7:$E$80)*12.9898))*43758.5453,1)))/D9,0)))))</f>
        <v>12</v>
      </c>
      <c r="G9" s="38">
        <f t="shared" si="0"/>
        <v>28596</v>
      </c>
      <c r="H9" s="38">
        <f t="shared" si="1"/>
        <v>108</v>
      </c>
      <c r="I9" s="33">
        <f>IF(ROWS($I$7:I9)&lt;=COUNTIF('T4.2026'!$A$2:$A$75,"?*"),ROWS($I$7:I9)+1,"")</f>
        <v>4</v>
      </c>
      <c r="J9" s="33">
        <f t="shared" si="2"/>
        <v>0.78773660380829824</v>
      </c>
    </row>
    <row r="10" spans="1:10" x14ac:dyDescent="0.25">
      <c r="A10" s="33" t="str">
        <f t="array" ref="A10">IF(ROWS($A$7:A10)&gt;COUNTIF('T4.2026'!$A$2:$A$75,"?*"),"",INDEX('T4.2026'!A:A,INDEX($I$7:$I$80,MATCH(SMALL($J$7:$J$80,ROWS($A$7:A10)),$J$7:$J$80,0))))</f>
        <v>VP26_47</v>
      </c>
      <c r="B10" s="37" t="str">
        <f t="array" ref="B10">IF($A10="","",INDEX('T4.2026'!B:B,INDEX($I$7:$I$80,MATCH(SMALL($J$7:$J$80,ROWS($A$7:A10)),$J$7:$J$80,0))))</f>
        <v>Kẹo Cao Su Dinos 500g (69 viên)</v>
      </c>
      <c r="C10" s="33" t="str">
        <f t="array" ref="C10">IF($A10="","",INDEX('T4.2026'!C:C,INDEX($I$7:$I$80,MATCH(SMALL($J$7:$J$80,ROWS($A$7:A10)),$J$7:$J$80,0))))</f>
        <v>Viên</v>
      </c>
      <c r="D10" s="38">
        <f t="array" ref="D10">IF($A10="","",ROUND(INDEX('T4.2026'!D:D,INDEX($I$7:$I$80,MATCH(SMALL($J$7:$J$80,ROWS($A$7:A10)),$J$7:$J$80,0))),0))</f>
        <v>829</v>
      </c>
      <c r="E10" s="38">
        <f t="array" ref="E10">IF($A10="","",INDEX('T4.2026'!E:E,INDEX($I$7:$I$80,MATCH(SMALL($J$7:$J$80,ROWS($A$7:A10)),$J$7:$J$80,0))))</f>
        <v>759</v>
      </c>
      <c r="F10" s="38">
        <f t="array" ref="F10">IF($A10="","",IF(ROWS($A$7:A10)=COUNTIF('T4.2026'!$A$2:$A$75,"?*"),MIN(E10,MAX(0,ROUND(($B$3-SUM($G$6:G9))/D10,0))),MIN(E10,MAX(0,ROUNDDOWN(($B$3*(E10*(0.5+MOD(ABS(SIN($B$3*0.001+ROW()*12.9898))*43758.5453,1)))/SUMPRODUCT($E$7:$E$80,0.5+MOD(ABS(SIN($B$3*0.001+ROW($E$7:$E$80)*12.9898))*43758.5453,1)))/D10,0)))))</f>
        <v>88</v>
      </c>
      <c r="G10" s="38">
        <f t="shared" si="0"/>
        <v>72952</v>
      </c>
      <c r="H10" s="38">
        <f t="shared" si="1"/>
        <v>671</v>
      </c>
      <c r="I10" s="33">
        <f>IF(ROWS($I$7:I10)&lt;=COUNTIF('T4.2026'!$A$2:$A$75,"?*"),ROWS($I$7:I10)+1,"")</f>
        <v>5</v>
      </c>
      <c r="J10" s="33">
        <f t="shared" si="2"/>
        <v>0.15735990012763068</v>
      </c>
    </row>
    <row r="11" spans="1:10" x14ac:dyDescent="0.25">
      <c r="A11" s="33" t="str">
        <f t="array" ref="A11">IF(ROWS($A$7:A11)&gt;COUNTIF('T4.2026'!$A$2:$A$75,"?*"),"",INDEX('T4.2026'!A:A,INDEX($I$7:$I$80,MATCH(SMALL($J$7:$J$80,ROWS($A$7:A11)),$J$7:$J$80,0))))</f>
        <v>VP26_49</v>
      </c>
      <c r="B11" s="37" t="str">
        <f t="array" ref="B11">IF($A11="","",INDEX('T4.2026'!B:B,INDEX($I$7:$I$80,MATCH(SMALL($J$7:$J$80,ROWS($A$7:A11)),$J$7:$J$80,0))))</f>
        <v>Bánh Mứt Dâu Xá 4kg PC</v>
      </c>
      <c r="C11" s="33" t="str">
        <f t="array" ref="C11">IF($A11="","",INDEX('T4.2026'!C:C,INDEX($I$7:$I$80,MATCH(SMALL($J$7:$J$80,ROWS($A$7:A11)),$J$7:$J$80,0))))</f>
        <v>kg</v>
      </c>
      <c r="D11" s="38">
        <f t="array" ref="D11">IF($A11="","",ROUND(INDEX('T4.2026'!D:D,INDEX($I$7:$I$80,MATCH(SMALL($J$7:$J$80,ROWS($A$7:A11)),$J$7:$J$80,0))),0))</f>
        <v>61875</v>
      </c>
      <c r="E11" s="38">
        <f t="array" ref="E11">IF($A11="","",INDEX('T4.2026'!E:E,INDEX($I$7:$I$80,MATCH(SMALL($J$7:$J$80,ROWS($A$7:A11)),$J$7:$J$80,0))))</f>
        <v>4</v>
      </c>
      <c r="F11" s="38">
        <f t="array" ref="F11">IF($A11="","",IF(ROWS($A$7:A11)=COUNTIF('T4.2026'!$A$2:$A$75,"?*"),MIN(E11,MAX(0,ROUND(($B$3-SUM($G$6:G10))/D11,0))),MIN(E11,MAX(0,ROUNDDOWN(($B$3*(E11*(0.5+MOD(ABS(SIN($B$3*0.001+ROW()*12.9898))*43758.5453,1)))/SUMPRODUCT($E$7:$E$80,0.5+MOD(ABS(SIN($B$3*0.001+ROW($E$7:$E$80)*12.9898))*43758.5453,1)))/D11,0)))))</f>
        <v>0</v>
      </c>
      <c r="G11" s="38">
        <f t="shared" si="0"/>
        <v>0</v>
      </c>
      <c r="H11" s="38">
        <f t="shared" si="1"/>
        <v>4</v>
      </c>
      <c r="I11" s="33">
        <f>IF(ROWS($I$7:I11)&lt;=COUNTIF('T4.2026'!$A$2:$A$75,"?*"),ROWS($I$7:I11)+1,"")</f>
        <v>6</v>
      </c>
      <c r="J11" s="33">
        <f t="shared" si="2"/>
        <v>0.1158606657445489</v>
      </c>
    </row>
    <row r="12" spans="1:10" x14ac:dyDescent="0.25">
      <c r="A12" s="33" t="str">
        <f t="array" ref="A12">IF(ROWS($A$7:A12)&gt;COUNTIF('T4.2026'!$A$2:$A$75,"?*"),"",INDEX('T4.2026'!A:A,INDEX($I$7:$I$80,MATCH(SMALL($J$7:$J$80,ROWS($A$7:A12)),$J$7:$J$80,0))))</f>
        <v>VP26_10</v>
      </c>
      <c r="B12" s="37" t="str">
        <f t="array" ref="B12">IF($A12="","",INDEX('T4.2026'!B:B,INDEX($I$7:$I$80,MATCH(SMALL($J$7:$J$80,ROWS($A$7:A12)),$J$7:$J$80,0))))</f>
        <v>Bánh snack Oishi 5K (8 bịch/bao)</v>
      </c>
      <c r="C12" s="33" t="str">
        <f t="array" ref="C12">IF($A12="","",INDEX('T4.2026'!C:C,INDEX($I$7:$I$80,MATCH(SMALL($J$7:$J$80,ROWS($A$7:A12)),$J$7:$J$80,0))))</f>
        <v>Bịch</v>
      </c>
      <c r="D12" s="38">
        <f t="array" ref="D12">IF($A12="","",ROUND(INDEX('T4.2026'!D:D,INDEX($I$7:$I$80,MATCH(SMALL($J$7:$J$80,ROWS($A$7:A12)),$J$7:$J$80,0))),0))</f>
        <v>38500</v>
      </c>
      <c r="E12" s="38">
        <f t="array" ref="E12">IF($A12="","",INDEX('T4.2026'!E:E,INDEX($I$7:$I$80,MATCH(SMALL($J$7:$J$80,ROWS($A$7:A12)),$J$7:$J$80,0))))</f>
        <v>8</v>
      </c>
      <c r="F12" s="38">
        <f t="array" ref="F12">IF($A12="","",IF(ROWS($A$7:A12)=COUNTIF('T4.2026'!$A$2:$A$75,"?*"),MIN(E12,MAX(0,ROUND(($B$3-SUM($G$6:G11))/D12,0))),MIN(E12,MAX(0,ROUNDDOWN(($B$3*(E12*(0.5+MOD(ABS(SIN($B$3*0.001+ROW()*12.9898))*43758.5453,1)))/SUMPRODUCT($E$7:$E$80,0.5+MOD(ABS(SIN($B$3*0.001+ROW($E$7:$E$80)*12.9898))*43758.5453,1)))/D12,0)))))</f>
        <v>0</v>
      </c>
      <c r="G12" s="38">
        <f t="shared" si="0"/>
        <v>0</v>
      </c>
      <c r="H12" s="38">
        <f t="shared" si="1"/>
        <v>8</v>
      </c>
      <c r="I12" s="33">
        <f>IF(ROWS($I$7:I12)&lt;=COUNTIF('T4.2026'!$A$2:$A$75,"?*"),ROWS($I$7:I12)+1,"")</f>
        <v>7</v>
      </c>
      <c r="J12" s="33">
        <f t="shared" si="2"/>
        <v>0.29687772292891168</v>
      </c>
    </row>
    <row r="13" spans="1:10" x14ac:dyDescent="0.25">
      <c r="A13" s="33" t="str">
        <f t="array" ref="A13">IF(ROWS($A$7:A13)&gt;COUNTIF('T4.2026'!$A$2:$A$75,"?*"),"",INDEX('T4.2026'!A:A,INDEX($I$7:$I$80,MATCH(SMALL($J$7:$J$80,ROWS($A$7:A13)),$J$7:$J$80,0))))</f>
        <v>VP26_32</v>
      </c>
      <c r="B13" s="37" t="str">
        <f t="array" ref="B13">IF($A13="","",INDEX('T4.2026'!B:B,INDEX($I$7:$I$80,MATCH(SMALL($J$7:$J$80,ROWS($A$7:A13)),$J$7:$J$80,0))))</f>
        <v>Thạch miếng nhỏ Suso LƯỚI 800g (62 cái)</v>
      </c>
      <c r="C13" s="33" t="str">
        <f t="array" ref="C13">IF($A13="","",INDEX('T4.2026'!C:C,INDEX($I$7:$I$80,MATCH(SMALL($J$7:$J$80,ROWS($A$7:A13)),$J$7:$J$80,0))))</f>
        <v>Cái</v>
      </c>
      <c r="D13" s="38">
        <f t="array" ref="D13">IF($A13="","",ROUND(INDEX('T4.2026'!D:D,INDEX($I$7:$I$80,MATCH(SMALL($J$7:$J$80,ROWS($A$7:A13)),$J$7:$J$80,0))),0))</f>
        <v>550</v>
      </c>
      <c r="E13" s="38">
        <f t="array" ref="E13">IF($A13="","",INDEX('T4.2026'!E:E,INDEX($I$7:$I$80,MATCH(SMALL($J$7:$J$80,ROWS($A$7:A13)),$J$7:$J$80,0))))</f>
        <v>372</v>
      </c>
      <c r="F13" s="38">
        <f t="array" ref="F13">IF($A13="","",IF(ROWS($A$7:A13)=COUNTIF('T4.2026'!$A$2:$A$75,"?*"),MIN(E13,MAX(0,ROUND(($B$3-SUM($G$6:G12))/D13,0))),MIN(E13,MAX(0,ROUNDDOWN(($B$3*(E13*(0.5+MOD(ABS(SIN($B$3*0.001+ROW()*12.9898))*43758.5453,1)))/SUMPRODUCT($E$7:$E$80,0.5+MOD(ABS(SIN($B$3*0.001+ROW($E$7:$E$80)*12.9898))*43758.5453,1)))/D13,0)))))</f>
        <v>69</v>
      </c>
      <c r="G13" s="38">
        <f t="shared" si="0"/>
        <v>37950</v>
      </c>
      <c r="H13" s="38">
        <f t="shared" si="1"/>
        <v>303</v>
      </c>
      <c r="I13" s="33">
        <f>IF(ROWS($I$7:I13)&lt;=COUNTIF('T4.2026'!$A$2:$A$75,"?*"),ROWS($I$7:I13)+1,"")</f>
        <v>8</v>
      </c>
      <c r="J13" s="33">
        <f t="shared" si="2"/>
        <v>3.4344031428190647E-2</v>
      </c>
    </row>
    <row r="14" spans="1:10" x14ac:dyDescent="0.25">
      <c r="A14" s="33" t="str">
        <f t="array" ref="A14">IF(ROWS($A$7:A14)&gt;COUNTIF('T4.2026'!$A$2:$A$75,"?*"),"",INDEX('T4.2026'!A:A,INDEX($I$7:$I$80,MATCH(SMALL($J$7:$J$80,ROWS($A$7:A14)),$J$7:$J$80,0))))</f>
        <v>VP26_45</v>
      </c>
      <c r="B14" s="37" t="str">
        <f t="array" ref="B14">IF($A14="","",INDEX('T4.2026'!B:B,INDEX($I$7:$I$80,MATCH(SMALL($J$7:$J$80,ROWS($A$7:A14)),$J$7:$J$80,0))))</f>
        <v>Mì Vàng Enaak 30g (24 gói/Hộp)</v>
      </c>
      <c r="C14" s="33" t="str">
        <f t="array" ref="C14">IF($A14="","",INDEX('T4.2026'!C:C,INDEX($I$7:$I$80,MATCH(SMALL($J$7:$J$80,ROWS($A$7:A14)),$J$7:$J$80,0))))</f>
        <v>Gói</v>
      </c>
      <c r="D14" s="38">
        <f t="array" ref="D14">IF($A14="","",ROUND(INDEX('T4.2026'!D:D,INDEX($I$7:$I$80,MATCH(SMALL($J$7:$J$80,ROWS($A$7:A14)),$J$7:$J$80,0))),0))</f>
        <v>5500</v>
      </c>
      <c r="E14" s="38">
        <f t="array" ref="E14">IF($A14="","",INDEX('T4.2026'!E:E,INDEX($I$7:$I$80,MATCH(SMALL($J$7:$J$80,ROWS($A$7:A14)),$J$7:$J$80,0))))</f>
        <v>144</v>
      </c>
      <c r="F14" s="38">
        <f t="array" ref="F14">IF($A14="","",IF(ROWS($A$7:A14)=COUNTIF('T4.2026'!$A$2:$A$75,"?*"),MIN(E14,MAX(0,ROUND(($B$3-SUM($G$6:G13))/D14,0))),MIN(E14,MAX(0,ROUNDDOWN(($B$3*(E14*(0.5+MOD(ABS(SIN($B$3*0.001+ROW()*12.9898))*43758.5453,1)))/SUMPRODUCT($E$7:$E$80,0.5+MOD(ABS(SIN($B$3*0.001+ROW($E$7:$E$80)*12.9898))*43758.5453,1)))/D14,0)))))</f>
        <v>2</v>
      </c>
      <c r="G14" s="38">
        <f t="shared" si="0"/>
        <v>11000</v>
      </c>
      <c r="H14" s="38">
        <f t="shared" si="1"/>
        <v>142</v>
      </c>
      <c r="I14" s="33">
        <f>IF(ROWS($I$7:I14)&lt;=COUNTIF('T4.2026'!$A$2:$A$75,"?*"),ROWS($I$7:I14)+1,"")</f>
        <v>9</v>
      </c>
      <c r="J14" s="33">
        <f t="shared" si="2"/>
        <v>0.97822075984004186</v>
      </c>
    </row>
    <row r="15" spans="1:10" x14ac:dyDescent="0.25">
      <c r="A15" s="33" t="str">
        <f t="array" ref="A15">IF(ROWS($A$7:A15)&gt;COUNTIF('T4.2026'!$A$2:$A$75,"?*"),"",INDEX('T4.2026'!A:A,INDEX($I$7:$I$80,MATCH(SMALL($J$7:$J$80,ROWS($A$7:A15)),$J$7:$J$80,0))))</f>
        <v>VP26_50</v>
      </c>
      <c r="B15" s="37" t="str">
        <f t="array" ref="B15">IF($A15="","",INDEX('T4.2026'!B:B,INDEX($I$7:$I$80,MATCH(SMALL($J$7:$J$80,ROWS($A$7:A15)),$J$7:$J$80,0))))</f>
        <v>Nước Túi Oishi (10 túi x 5 bịch / T)</v>
      </c>
      <c r="C15" s="33" t="str">
        <f t="array" ref="C15">IF($A15="","",INDEX('T4.2026'!C:C,INDEX($I$7:$I$80,MATCH(SMALL($J$7:$J$80,ROWS($A$7:A15)),$J$7:$J$80,0))))</f>
        <v>Túi</v>
      </c>
      <c r="D15" s="38">
        <f t="array" ref="D15">IF($A15="","",ROUND(INDEX('T4.2026'!D:D,INDEX($I$7:$I$80,MATCH(SMALL($J$7:$J$80,ROWS($A$7:A15)),$J$7:$J$80,0))),0))</f>
        <v>2560</v>
      </c>
      <c r="E15" s="38">
        <f t="array" ref="E15">IF($A15="","",INDEX('T4.2026'!E:E,INDEX($I$7:$I$80,MATCH(SMALL($J$7:$J$80,ROWS($A$7:A15)),$J$7:$J$80,0))))</f>
        <v>500</v>
      </c>
      <c r="F15" s="38">
        <f t="array" ref="F15">IF($A15="","",IF(ROWS($A$7:A15)=COUNTIF('T4.2026'!$A$2:$A$75,"?*"),MIN(E15,MAX(0,ROUND(($B$3-SUM($G$6:G14))/D15,0))),MIN(E15,MAX(0,ROUNDDOWN(($B$3*(E15*(0.5+MOD(ABS(SIN($B$3*0.001+ROW()*12.9898))*43758.5453,1)))/SUMPRODUCT($E$7:$E$80,0.5+MOD(ABS(SIN($B$3*0.001+ROW($E$7:$E$80)*12.9898))*43758.5453,1)))/D15,0)))))</f>
        <v>36</v>
      </c>
      <c r="G15" s="38">
        <f t="shared" si="0"/>
        <v>92160</v>
      </c>
      <c r="H15" s="38">
        <f t="shared" si="1"/>
        <v>464</v>
      </c>
      <c r="I15" s="33">
        <f>IF(ROWS($I$7:I15)&lt;=COUNTIF('T4.2026'!$A$2:$A$75,"?*"),ROWS($I$7:I15)+1,"")</f>
        <v>10</v>
      </c>
      <c r="J15" s="33">
        <f t="shared" si="2"/>
        <v>9.256299291155301E-2</v>
      </c>
    </row>
    <row r="16" spans="1:10" x14ac:dyDescent="0.25">
      <c r="A16" s="33" t="str">
        <f t="array" ref="A16">IF(ROWS($A$7:A16)&gt;COUNTIF('T4.2026'!$A$2:$A$75,"?*"),"",INDEX('T4.2026'!A:A,INDEX($I$7:$I$80,MATCH(SMALL($J$7:$J$80,ROWS($A$7:A16)),$J$7:$J$80,0))))</f>
        <v>VP26_01</v>
      </c>
      <c r="B16" s="37" t="str">
        <f t="array" ref="B16">IF($A16="","",INDEX('T4.2026'!B:B,INDEX($I$7:$I$80,MATCH(SMALL($J$7:$J$80,ROWS($A$7:A16)),$J$7:$J$80,0))))</f>
        <v>Nước T-REXX Oishi Túi 180ml (5 bịch/T)</v>
      </c>
      <c r="C16" s="33" t="str">
        <f t="array" ref="C16">IF($A16="","",INDEX('T4.2026'!C:C,INDEX($I$7:$I$80,MATCH(SMALL($J$7:$J$80,ROWS($A$7:A16)),$J$7:$J$80,0))))</f>
        <v>Bịch</v>
      </c>
      <c r="D16" s="38">
        <f t="array" ref="D16">IF($A16="","",ROUND(INDEX('T4.2026'!D:D,INDEX($I$7:$I$80,MATCH(SMALL($J$7:$J$80,ROWS($A$7:A16)),$J$7:$J$80,0))),0))</f>
        <v>28160</v>
      </c>
      <c r="E16" s="38">
        <f t="array" ref="E16">IF($A16="","",INDEX('T4.2026'!E:E,INDEX($I$7:$I$80,MATCH(SMALL($J$7:$J$80,ROWS($A$7:A16)),$J$7:$J$80,0))))</f>
        <v>25</v>
      </c>
      <c r="F16" s="38">
        <f t="array" ref="F16">IF($A16="","",IF(ROWS($A$7:A16)=COUNTIF('T4.2026'!$A$2:$A$75,"?*"),MIN(E16,MAX(0,ROUND(($B$3-SUM($G$6:G15))/D16,0))),MIN(E16,MAX(0,ROUNDDOWN(($B$3*(E16*(0.5+MOD(ABS(SIN($B$3*0.001+ROW()*12.9898))*43758.5453,1)))/SUMPRODUCT($E$7:$E$80,0.5+MOD(ABS(SIN($B$3*0.001+ROW($E$7:$E$80)*12.9898))*43758.5453,1)))/D16,0)))))</f>
        <v>0</v>
      </c>
      <c r="G16" s="38">
        <f t="shared" si="0"/>
        <v>0</v>
      </c>
      <c r="H16" s="38">
        <f t="shared" si="1"/>
        <v>25</v>
      </c>
      <c r="I16" s="33">
        <f>IF(ROWS($I$7:I16)&lt;=COUNTIF('T4.2026'!$A$2:$A$75,"?*"),ROWS($I$7:I16)+1,"")</f>
        <v>11</v>
      </c>
      <c r="J16" s="33">
        <f t="shared" si="2"/>
        <v>0.39012434857431799</v>
      </c>
    </row>
    <row r="17" spans="1:10" x14ac:dyDescent="0.25">
      <c r="A17" s="33" t="str">
        <f t="array" ref="A17">IF(ROWS($A$7:A17)&gt;COUNTIF('T4.2026'!$A$2:$A$75,"?*"),"",INDEX('T4.2026'!A:A,INDEX($I$7:$I$80,MATCH(SMALL($J$7:$J$80,ROWS($A$7:A17)),$J$7:$J$80,0))))</f>
        <v>VP26_46</v>
      </c>
      <c r="B17" s="37" t="str">
        <f t="array" ref="B17">IF($A17="","",INDEX('T4.2026'!B:B,INDEX($I$7:$I$80,MATCH(SMALL($J$7:$J$80,ROWS($A$7:A17)),$J$7:$J$80,0))))</f>
        <v>Nước ÉP THẠCH Suso (48 ly)</v>
      </c>
      <c r="C17" s="33" t="str">
        <f t="array" ref="C17">IF($A17="","",INDEX('T4.2026'!C:C,INDEX($I$7:$I$80,MATCH(SMALL($J$7:$J$80,ROWS($A$7:A17)),$J$7:$J$80,0))))</f>
        <v>Ly</v>
      </c>
      <c r="D17" s="38">
        <f t="array" ref="D17">IF($A17="","",ROUND(INDEX('T4.2026'!D:D,INDEX($I$7:$I$80,MATCH(SMALL($J$7:$J$80,ROWS($A$7:A17)),$J$7:$J$80,0))),0))</f>
        <v>3942</v>
      </c>
      <c r="E17" s="38">
        <f t="array" ref="E17">IF($A17="","",INDEX('T4.2026'!E:E,INDEX($I$7:$I$80,MATCH(SMALL($J$7:$J$80,ROWS($A$7:A17)),$J$7:$J$80,0))))</f>
        <v>480</v>
      </c>
      <c r="F17" s="38">
        <f t="array" ref="F17">IF($A17="","",IF(ROWS($A$7:A17)=COUNTIF('T4.2026'!$A$2:$A$75,"?*"),MIN(E17,MAX(0,ROUND(($B$3-SUM($G$6:G16))/D17,0))),MIN(E17,MAX(0,ROUNDDOWN(($B$3*(E17*(0.5+MOD(ABS(SIN($B$3*0.001+ROW()*12.9898))*43758.5453,1)))/SUMPRODUCT($E$7:$E$80,0.5+MOD(ABS(SIN($B$3*0.001+ROW($E$7:$E$80)*12.9898))*43758.5453,1)))/D17,0)))))</f>
        <v>21</v>
      </c>
      <c r="G17" s="38">
        <f t="shared" si="0"/>
        <v>82782</v>
      </c>
      <c r="H17" s="38">
        <f t="shared" si="1"/>
        <v>459</v>
      </c>
      <c r="I17" s="33">
        <f>IF(ROWS($I$7:I17)&lt;=COUNTIF('T4.2026'!$A$2:$A$75,"?*"),ROWS($I$7:I17)+1,"")</f>
        <v>12</v>
      </c>
      <c r="J17" s="33">
        <f t="shared" si="2"/>
        <v>0.76875800680136308</v>
      </c>
    </row>
    <row r="18" spans="1:10" x14ac:dyDescent="0.25">
      <c r="A18" s="33" t="str">
        <f t="array" ref="A18">IF(ROWS($A$7:A18)&gt;COUNTIF('T4.2026'!$A$2:$A$75,"?*"),"",INDEX('T4.2026'!A:A,INDEX($I$7:$I$80,MATCH(SMALL($J$7:$J$80,ROWS($A$7:A18)),$J$7:$J$80,0))))</f>
        <v>VP26_02</v>
      </c>
      <c r="B18" s="37" t="str">
        <f t="array" ref="B18">IF($A18="","",INDEX('T4.2026'!B:B,INDEX($I$7:$I$80,MATCH(SMALL($J$7:$J$80,ROWS($A$7:A18)),$J$7:$J$80,0))))</f>
        <v>Bánh snack Oishi 2K (10 bịch/bao)</v>
      </c>
      <c r="C18" s="33" t="str">
        <f t="array" ref="C18">IF($A18="","",INDEX('T4.2026'!C:C,INDEX($I$7:$I$80,MATCH(SMALL($J$7:$J$80,ROWS($A$7:A18)),$J$7:$J$80,0))))</f>
        <v>Bịch</v>
      </c>
      <c r="D18" s="38">
        <f t="array" ref="D18">IF($A18="","",ROUND(INDEX('T4.2026'!D:D,INDEX($I$7:$I$80,MATCH(SMALL($J$7:$J$80,ROWS($A$7:A18)),$J$7:$J$80,0))),0))</f>
        <v>15248</v>
      </c>
      <c r="E18" s="38">
        <f t="array" ref="E18">IF($A18="","",INDEX('T4.2026'!E:E,INDEX($I$7:$I$80,MATCH(SMALL($J$7:$J$80,ROWS($A$7:A18)),$J$7:$J$80,0))))</f>
        <v>280</v>
      </c>
      <c r="F18" s="38">
        <f t="array" ref="F18">IF($A18="","",IF(ROWS($A$7:A18)=COUNTIF('T4.2026'!$A$2:$A$75,"?*"),MIN(E18,MAX(0,ROUND(($B$3-SUM($G$6:G17))/D18,0))),MIN(E18,MAX(0,ROUNDDOWN(($B$3*(E18*(0.5+MOD(ABS(SIN($B$3*0.001+ROW()*12.9898))*43758.5453,1)))/SUMPRODUCT($E$7:$E$80,0.5+MOD(ABS(SIN($B$3*0.001+ROW($E$7:$E$80)*12.9898))*43758.5453,1)))/D18,0)))))</f>
        <v>1</v>
      </c>
      <c r="G18" s="38">
        <f t="shared" si="0"/>
        <v>15248</v>
      </c>
      <c r="H18" s="38">
        <f t="shared" si="1"/>
        <v>279</v>
      </c>
      <c r="I18" s="33">
        <f>IF(ROWS($I$7:I18)&lt;=COUNTIF('T4.2026'!$A$2:$A$75,"?*"),ROWS($I$7:I18)+1,"")</f>
        <v>13</v>
      </c>
      <c r="J18" s="33">
        <f t="shared" si="2"/>
        <v>0.12468693690971122</v>
      </c>
    </row>
    <row r="19" spans="1:10" x14ac:dyDescent="0.25">
      <c r="A19" s="33" t="str">
        <f t="array" ref="A19">IF(ROWS($A$7:A19)&gt;COUNTIF('T4.2026'!$A$2:$A$75,"?*"),"",INDEX('T4.2026'!A:A,INDEX($I$7:$I$80,MATCH(SMALL($J$7:$J$80,ROWS($A$7:A19)),$J$7:$J$80,0))))</f>
        <v>Bánh Khoai Tây xá 4kg</v>
      </c>
      <c r="B19" s="37" t="str">
        <f t="array" ref="B19">IF($A19="","",INDEX('T4.2026'!B:B,INDEX($I$7:$I$80,MATCH(SMALL($J$7:$J$80,ROWS($A$7:A19)),$J$7:$J$80,0))))</f>
        <v>Bánh Khoai Tây xá 4kg</v>
      </c>
      <c r="C19" s="33" t="str">
        <f t="array" ref="C19">IF($A19="","",INDEX('T4.2026'!C:C,INDEX($I$7:$I$80,MATCH(SMALL($J$7:$J$80,ROWS($A$7:A19)),$J$7:$J$80,0))))</f>
        <v>kg</v>
      </c>
      <c r="D19" s="38">
        <f t="array" ref="D19">IF($A19="","",ROUND(INDEX('T4.2026'!D:D,INDEX($I$7:$I$80,MATCH(SMALL($J$7:$J$80,ROWS($A$7:A19)),$J$7:$J$80,0))),0))</f>
        <v>58850</v>
      </c>
      <c r="E19" s="38">
        <f t="array" ref="E19">IF($A19="","",INDEX('T4.2026'!E:E,INDEX($I$7:$I$80,MATCH(SMALL($J$7:$J$80,ROWS($A$7:A19)),$J$7:$J$80,0))))</f>
        <v>4</v>
      </c>
      <c r="F19" s="38">
        <f t="array" ref="F19">IF($A19="","",IF(ROWS($A$7:A19)=COUNTIF('T4.2026'!$A$2:$A$75,"?*"),MIN(E19,MAX(0,ROUND(($B$3-SUM($G$6:G18))/D19,0))),MIN(E19,MAX(0,ROUNDDOWN(($B$3*(E19*(0.5+MOD(ABS(SIN($B$3*0.001+ROW()*12.9898))*43758.5453,1)))/SUMPRODUCT($E$7:$E$80,0.5+MOD(ABS(SIN($B$3*0.001+ROW($E$7:$E$80)*12.9898))*43758.5453,1)))/D19,0)))))</f>
        <v>0</v>
      </c>
      <c r="G19" s="38">
        <f t="shared" si="0"/>
        <v>0</v>
      </c>
      <c r="H19" s="38">
        <f t="shared" si="1"/>
        <v>4</v>
      </c>
      <c r="I19" s="33">
        <f>IF(ROWS($I$7:I19)&lt;=COUNTIF('T4.2026'!$A$2:$A$75,"?*"),ROWS($I$7:I19)+1,"")</f>
        <v>14</v>
      </c>
      <c r="J19" s="33">
        <f t="shared" si="2"/>
        <v>0.13837614444082647</v>
      </c>
    </row>
    <row r="20" spans="1:10" x14ac:dyDescent="0.25">
      <c r="A20" s="33" t="str">
        <f t="array" ref="A20">IF(ROWS($A$7:A20)&gt;COUNTIF('T4.2026'!$A$2:$A$75,"?*"),"",INDEX('T4.2026'!A:A,INDEX($I$7:$I$80,MATCH(SMALL($J$7:$J$80,ROWS($A$7:A20)),$J$7:$J$80,0))))</f>
        <v>VP26_41</v>
      </c>
      <c r="B20" s="37" t="str">
        <f t="array" ref="B20">IF($A20="","",INDEX('T4.2026'!B:B,INDEX($I$7:$I$80,MATCH(SMALL($J$7:$J$80,ROWS($A$7:A20)),$J$7:$J$80,0))))</f>
        <v>Đậu phộng Oishi 1K (20 dây/T)</v>
      </c>
      <c r="C20" s="33" t="str">
        <f t="array" ref="C20">IF($A20="","",INDEX('T4.2026'!C:C,INDEX($I$7:$I$80,MATCH(SMALL($J$7:$J$80,ROWS($A$7:A20)),$J$7:$J$80,0))))</f>
        <v>Dây</v>
      </c>
      <c r="D20" s="38">
        <f t="array" ref="D20">IF($A20="","",ROUND(INDEX('T4.2026'!D:D,INDEX($I$7:$I$80,MATCH(SMALL($J$7:$J$80,ROWS($A$7:A20)),$J$7:$J$80,0))),0))</f>
        <v>7637</v>
      </c>
      <c r="E20" s="38">
        <f t="array" ref="E20">IF($A20="","",INDEX('T4.2026'!E:E,INDEX($I$7:$I$80,MATCH(SMALL($J$7:$J$80,ROWS($A$7:A20)),$J$7:$J$80,0))))</f>
        <v>20</v>
      </c>
      <c r="F20" s="38">
        <f t="array" ref="F20">IF($A20="","",IF(ROWS($A$7:A20)=COUNTIF('T4.2026'!$A$2:$A$75,"?*"),MIN(E20,MAX(0,ROUND(($B$3-SUM($G$6:G19))/D20,0))),MIN(E20,MAX(0,ROUNDDOWN(($B$3*(E20*(0.5+MOD(ABS(SIN($B$3*0.001+ROW()*12.9898))*43758.5453,1)))/SUMPRODUCT($E$7:$E$80,0.5+MOD(ABS(SIN($B$3*0.001+ROW($E$7:$E$80)*12.9898))*43758.5453,1)))/D20,0)))))</f>
        <v>5</v>
      </c>
      <c r="G20" s="38">
        <f t="shared" si="0"/>
        <v>38185</v>
      </c>
      <c r="H20" s="38">
        <f t="shared" si="1"/>
        <v>15</v>
      </c>
      <c r="I20" s="33">
        <f>IF(ROWS($I$7:I20)&lt;=COUNTIF('T4.2026'!$A$2:$A$75,"?*"),ROWS($I$7:I20)+1,"")</f>
        <v>15</v>
      </c>
      <c r="J20" s="33">
        <f t="shared" si="2"/>
        <v>0.65873797198037209</v>
      </c>
    </row>
    <row r="21" spans="1:10" ht="15.75" customHeight="1" x14ac:dyDescent="0.25">
      <c r="A21" s="33" t="str">
        <f t="array" ref="A21">IF(ROWS($A$7:A21)&gt;COUNTIF('T4.2026'!$A$2:$A$75,"?*"),"",INDEX('T4.2026'!A:A,INDEX($I$7:$I$80,MATCH(SMALL($J$7:$J$80,ROWS($A$7:A21)),$J$7:$J$80,0))))</f>
        <v/>
      </c>
      <c r="B21" s="37" t="str">
        <f t="array" ref="B21">IF($A21="","",INDEX('T4.2026'!B:B,INDEX($I$7:$I$80,MATCH(SMALL($J$7:$J$80,ROWS($A$7:A21)),$J$7:$J$80,0))))</f>
        <v/>
      </c>
      <c r="C21" s="33" t="str">
        <f t="array" ref="C21">IF($A21="","",INDEX('T4.2026'!C:C,INDEX($I$7:$I$80,MATCH(SMALL($J$7:$J$80,ROWS($A$7:A21)),$J$7:$J$80,0))))</f>
        <v/>
      </c>
      <c r="D21" s="38" t="str">
        <f t="array" ref="D21">IF($A21="","",ROUND(INDEX('T4.2026'!D:D,INDEX($I$7:$I$80,MATCH(SMALL($J$7:$J$80,ROWS($A$7:A21)),$J$7:$J$80,0))),0))</f>
        <v/>
      </c>
      <c r="E21" s="38" t="str">
        <f t="array" ref="E21">IF($A21="","",INDEX('T4.2026'!E:E,INDEX($I$7:$I$80,MATCH(SMALL($J$7:$J$80,ROWS($A$7:A21)),$J$7:$J$80,0))))</f>
        <v/>
      </c>
      <c r="F21" s="38" t="str">
        <f t="array" ref="F21">IF($A21="","",IF(ROWS($A$7:A21)=COUNTIF('T4.2026'!$A$2:$A$75,"?*"),MIN(E21,MAX(0,ROUND(($B$3-SUM($G$6:G20))/D21,0))),MIN(E21,MAX(0,ROUNDDOWN(($B$3*(E21*(0.5+MOD(ABS(SIN($B$3*0.001+ROW()*12.9898))*43758.5453,1)))/SUMPRODUCT($E$7:$E$80,0.5+MOD(ABS(SIN($B$3*0.001+ROW($E$7:$E$80)*12.9898))*43758.5453,1)))/D21,0)))))</f>
        <v/>
      </c>
      <c r="G21" s="38" t="str">
        <f t="shared" si="0"/>
        <v/>
      </c>
      <c r="H21" s="38" t="str">
        <f t="shared" si="1"/>
        <v/>
      </c>
      <c r="I21" s="33" t="str">
        <f>IF(ROWS($I$7:I21)&lt;=COUNTIF('T4.2026'!$A$2:$A$75,"?*"),ROWS($I$7:I21)+1,"")</f>
        <v/>
      </c>
      <c r="J21" s="33">
        <f t="shared" si="2"/>
        <v>9.9999999999999997E+98</v>
      </c>
    </row>
    <row r="22" spans="1:10" ht="15.75" customHeight="1" x14ac:dyDescent="0.25">
      <c r="A22" s="33" t="str">
        <f t="array" ref="A22">IF(ROWS($A$7:A22)&gt;COUNTIF('T4.2026'!$A$2:$A$75,"?*"),"",INDEX('T4.2026'!A:A,INDEX($I$7:$I$80,MATCH(SMALL($J$7:$J$80,ROWS($A$7:A22)),$J$7:$J$80,0))))</f>
        <v/>
      </c>
      <c r="B22" s="37" t="str">
        <f t="array" ref="B22">IF($A22="","",INDEX('T4.2026'!B:B,INDEX($I$7:$I$80,MATCH(SMALL($J$7:$J$80,ROWS($A$7:A22)),$J$7:$J$80,0))))</f>
        <v/>
      </c>
      <c r="C22" s="33" t="str">
        <f t="array" ref="C22">IF($A22="","",INDEX('T4.2026'!C:C,INDEX($I$7:$I$80,MATCH(SMALL($J$7:$J$80,ROWS($A$7:A22)),$J$7:$J$80,0))))</f>
        <v/>
      </c>
      <c r="D22" s="38" t="str">
        <f t="array" ref="D22">IF($A22="","",ROUND(INDEX('T4.2026'!D:D,INDEX($I$7:$I$80,MATCH(SMALL($J$7:$J$80,ROWS($A$7:A22)),$J$7:$J$80,0))),0))</f>
        <v/>
      </c>
      <c r="E22" s="38" t="str">
        <f t="array" ref="E22">IF($A22="","",INDEX('T4.2026'!E:E,INDEX($I$7:$I$80,MATCH(SMALL($J$7:$J$80,ROWS($A$7:A22)),$J$7:$J$80,0))))</f>
        <v/>
      </c>
      <c r="F22" s="38" t="str">
        <f t="array" ref="F22">IF($A22="","",IF(ROWS($A$7:A22)=COUNTIF('T4.2026'!$A$2:$A$75,"?*"),MIN(E22,MAX(0,ROUND(($B$3-SUM($G$6:G21))/D22,0))),MIN(E22,MAX(0,ROUNDDOWN(($B$3*(E22*(0.5+MOD(ABS(SIN($B$3*0.001+ROW()*12.9898))*43758.5453,1)))/SUMPRODUCT($E$7:$E$80,0.5+MOD(ABS(SIN($B$3*0.001+ROW($E$7:$E$80)*12.9898))*43758.5453,1)))/D22,0)))))</f>
        <v/>
      </c>
      <c r="G22" s="38" t="str">
        <f t="shared" si="0"/>
        <v/>
      </c>
      <c r="H22" s="38" t="str">
        <f t="shared" si="1"/>
        <v/>
      </c>
      <c r="I22" s="33" t="str">
        <f>IF(ROWS($I$7:I22)&lt;=COUNTIF('T4.2026'!$A$2:$A$75,"?*"),ROWS($I$7:I22)+1,"")</f>
        <v/>
      </c>
      <c r="J22" s="33">
        <f t="shared" si="2"/>
        <v>9.9999999999999997E+98</v>
      </c>
    </row>
    <row r="23" spans="1:10" ht="15.75" customHeight="1" x14ac:dyDescent="0.25">
      <c r="A23" s="33" t="str">
        <f t="array" ref="A23">IF(ROWS($A$7:A23)&gt;COUNTIF('T4.2026'!$A$2:$A$75,"?*"),"",INDEX('T4.2026'!A:A,INDEX($I$7:$I$80,MATCH(SMALL($J$7:$J$80,ROWS($A$7:A23)),$J$7:$J$80,0))))</f>
        <v/>
      </c>
      <c r="B23" s="37" t="str">
        <f t="array" ref="B23">IF($A23="","",INDEX('T4.2026'!B:B,INDEX($I$7:$I$80,MATCH(SMALL($J$7:$J$80,ROWS($A$7:A23)),$J$7:$J$80,0))))</f>
        <v/>
      </c>
      <c r="C23" s="33" t="str">
        <f t="array" ref="C23">IF($A23="","",INDEX('T4.2026'!C:C,INDEX($I$7:$I$80,MATCH(SMALL($J$7:$J$80,ROWS($A$7:A23)),$J$7:$J$80,0))))</f>
        <v/>
      </c>
      <c r="D23" s="38" t="str">
        <f t="array" ref="D23">IF($A23="","",ROUND(INDEX('T4.2026'!D:D,INDEX($I$7:$I$80,MATCH(SMALL($J$7:$J$80,ROWS($A$7:A23)),$J$7:$J$80,0))),0))</f>
        <v/>
      </c>
      <c r="E23" s="38" t="str">
        <f t="array" ref="E23">IF($A23="","",INDEX('T4.2026'!E:E,INDEX($I$7:$I$80,MATCH(SMALL($J$7:$J$80,ROWS($A$7:A23)),$J$7:$J$80,0))))</f>
        <v/>
      </c>
      <c r="F23" s="38" t="str">
        <f t="array" ref="F23">IF($A23="","",IF(ROWS($A$7:A23)=COUNTIF('T4.2026'!$A$2:$A$75,"?*"),MIN(E23,MAX(0,ROUND(($B$3-SUM($G$6:G22))/D23,0))),MIN(E23,MAX(0,ROUNDDOWN(($B$3*(E23*(0.5+MOD(ABS(SIN($B$3*0.001+ROW()*12.9898))*43758.5453,1)))/SUMPRODUCT($E$7:$E$80,0.5+MOD(ABS(SIN($B$3*0.001+ROW($E$7:$E$80)*12.9898))*43758.5453,1)))/D23,0)))))</f>
        <v/>
      </c>
      <c r="G23" s="38" t="str">
        <f t="shared" si="0"/>
        <v/>
      </c>
      <c r="H23" s="38" t="str">
        <f t="shared" si="1"/>
        <v/>
      </c>
      <c r="I23" s="33" t="str">
        <f>IF(ROWS($I$7:I23)&lt;=COUNTIF('T4.2026'!$A$2:$A$75,"?*"),ROWS($I$7:I23)+1,"")</f>
        <v/>
      </c>
      <c r="J23" s="33">
        <f t="shared" si="2"/>
        <v>9.9999999999999997E+98</v>
      </c>
    </row>
    <row r="24" spans="1:10" ht="15.75" customHeight="1" x14ac:dyDescent="0.25">
      <c r="A24" s="33" t="str">
        <f t="array" ref="A24">IF(ROWS($A$7:A24)&gt;COUNTIF('T4.2026'!$A$2:$A$75,"?*"),"",INDEX('T4.2026'!A:A,INDEX($I$7:$I$80,MATCH(SMALL($J$7:$J$80,ROWS($A$7:A24)),$J$7:$J$80,0))))</f>
        <v/>
      </c>
      <c r="B24" s="37" t="str">
        <f t="array" ref="B24">IF($A24="","",INDEX('T4.2026'!B:B,INDEX($I$7:$I$80,MATCH(SMALL($J$7:$J$80,ROWS($A$7:A24)),$J$7:$J$80,0))))</f>
        <v/>
      </c>
      <c r="C24" s="33" t="str">
        <f t="array" ref="C24">IF($A24="","",INDEX('T4.2026'!C:C,INDEX($I$7:$I$80,MATCH(SMALL($J$7:$J$80,ROWS($A$7:A24)),$J$7:$J$80,0))))</f>
        <v/>
      </c>
      <c r="D24" s="38" t="str">
        <f t="array" ref="D24">IF($A24="","",ROUND(INDEX('T4.2026'!D:D,INDEX($I$7:$I$80,MATCH(SMALL($J$7:$J$80,ROWS($A$7:A24)),$J$7:$J$80,0))),0))</f>
        <v/>
      </c>
      <c r="E24" s="38" t="str">
        <f t="array" ref="E24">IF($A24="","",INDEX('T4.2026'!E:E,INDEX($I$7:$I$80,MATCH(SMALL($J$7:$J$80,ROWS($A$7:A24)),$J$7:$J$80,0))))</f>
        <v/>
      </c>
      <c r="F24" s="38" t="str">
        <f t="array" ref="F24">IF($A24="","",IF(ROWS($A$7:A24)=COUNTIF('T4.2026'!$A$2:$A$75,"?*"),MIN(E24,MAX(0,ROUND(($B$3-SUM($G$6:G23))/D24,0))),MIN(E24,MAX(0,ROUNDDOWN(($B$3*(E24*(0.5+MOD(ABS(SIN($B$3*0.001+ROW()*12.9898))*43758.5453,1)))/SUMPRODUCT($E$7:$E$80,0.5+MOD(ABS(SIN($B$3*0.001+ROW($E$7:$E$80)*12.9898))*43758.5453,1)))/D24,0)))))</f>
        <v/>
      </c>
      <c r="G24" s="38" t="str">
        <f t="shared" si="0"/>
        <v/>
      </c>
      <c r="H24" s="38" t="str">
        <f t="shared" si="1"/>
        <v/>
      </c>
      <c r="I24" s="33" t="str">
        <f>IF(ROWS($I$7:I24)&lt;=COUNTIF('T4.2026'!$A$2:$A$75,"?*"),ROWS($I$7:I24)+1,"")</f>
        <v/>
      </c>
      <c r="J24" s="33">
        <f t="shared" si="2"/>
        <v>9.9999999999999997E+98</v>
      </c>
    </row>
    <row r="25" spans="1:10" ht="15.75" customHeight="1" x14ac:dyDescent="0.25">
      <c r="A25" s="33" t="str">
        <f t="array" ref="A25">IF(ROWS($A$7:A25)&gt;COUNTIF('T4.2026'!$A$2:$A$75,"?*"),"",INDEX('T4.2026'!A:A,INDEX($I$7:$I$80,MATCH(SMALL($J$7:$J$80,ROWS($A$7:A25)),$J$7:$J$80,0))))</f>
        <v/>
      </c>
      <c r="B25" s="37" t="str">
        <f t="array" ref="B25">IF($A25="","",INDEX('T4.2026'!B:B,INDEX($I$7:$I$80,MATCH(SMALL($J$7:$J$80,ROWS($A$7:A25)),$J$7:$J$80,0))))</f>
        <v/>
      </c>
      <c r="C25" s="33" t="str">
        <f t="array" ref="C25">IF($A25="","",INDEX('T4.2026'!C:C,INDEX($I$7:$I$80,MATCH(SMALL($J$7:$J$80,ROWS($A$7:A25)),$J$7:$J$80,0))))</f>
        <v/>
      </c>
      <c r="D25" s="38" t="str">
        <f t="array" ref="D25">IF($A25="","",ROUND(INDEX('T4.2026'!D:D,INDEX($I$7:$I$80,MATCH(SMALL($J$7:$J$80,ROWS($A$7:A25)),$J$7:$J$80,0))),0))</f>
        <v/>
      </c>
      <c r="E25" s="38" t="str">
        <f t="array" ref="E25">IF($A25="","",INDEX('T4.2026'!E:E,INDEX($I$7:$I$80,MATCH(SMALL($J$7:$J$80,ROWS($A$7:A25)),$J$7:$J$80,0))))</f>
        <v/>
      </c>
      <c r="F25" s="38" t="str">
        <f t="array" ref="F25">IF($A25="","",IF(ROWS($A$7:A25)=COUNTIF('T4.2026'!$A$2:$A$75,"?*"),MIN(E25,MAX(0,ROUND(($B$3-SUM($G$6:G24))/D25,0))),MIN(E25,MAX(0,ROUNDDOWN(($B$3*(E25*(0.5+MOD(ABS(SIN($B$3*0.001+ROW()*12.9898))*43758.5453,1)))/SUMPRODUCT($E$7:$E$80,0.5+MOD(ABS(SIN($B$3*0.001+ROW($E$7:$E$80)*12.9898))*43758.5453,1)))/D25,0)))))</f>
        <v/>
      </c>
      <c r="G25" s="38" t="str">
        <f t="shared" si="0"/>
        <v/>
      </c>
      <c r="H25" s="38" t="str">
        <f t="shared" si="1"/>
        <v/>
      </c>
      <c r="I25" s="33" t="str">
        <f>IF(ROWS($I$7:I25)&lt;=COUNTIF('T4.2026'!$A$2:$A$75,"?*"),ROWS($I$7:I25)+1,"")</f>
        <v/>
      </c>
      <c r="J25" s="33">
        <f t="shared" si="2"/>
        <v>9.9999999999999997E+98</v>
      </c>
    </row>
    <row r="26" spans="1:10" ht="15.75" customHeight="1" x14ac:dyDescent="0.25">
      <c r="A26" s="33" t="str">
        <f t="array" ref="A26">IF(ROWS($A$7:A26)&gt;COUNTIF('T4.2026'!$A$2:$A$75,"?*"),"",INDEX('T4.2026'!A:A,INDEX($I$7:$I$80,MATCH(SMALL($J$7:$J$80,ROWS($A$7:A26)),$J$7:$J$80,0))))</f>
        <v/>
      </c>
      <c r="B26" s="37" t="str">
        <f t="array" ref="B26">IF($A26="","",INDEX('T4.2026'!B:B,INDEX($I$7:$I$80,MATCH(SMALL($J$7:$J$80,ROWS($A$7:A26)),$J$7:$J$80,0))))</f>
        <v/>
      </c>
      <c r="C26" s="33" t="str">
        <f t="array" ref="C26">IF($A26="","",INDEX('T4.2026'!C:C,INDEX($I$7:$I$80,MATCH(SMALL($J$7:$J$80,ROWS($A$7:A26)),$J$7:$J$80,0))))</f>
        <v/>
      </c>
      <c r="D26" s="38" t="str">
        <f t="array" ref="D26">IF($A26="","",ROUND(INDEX('T4.2026'!D:D,INDEX($I$7:$I$80,MATCH(SMALL($J$7:$J$80,ROWS($A$7:A26)),$J$7:$J$80,0))),0))</f>
        <v/>
      </c>
      <c r="E26" s="38" t="str">
        <f t="array" ref="E26">IF($A26="","",INDEX('T4.2026'!E:E,INDEX($I$7:$I$80,MATCH(SMALL($J$7:$J$80,ROWS($A$7:A26)),$J$7:$J$80,0))))</f>
        <v/>
      </c>
      <c r="F26" s="38" t="str">
        <f t="array" ref="F26">IF($A26="","",IF(ROWS($A$7:A26)=COUNTIF('T4.2026'!$A$2:$A$75,"?*"),MIN(E26,MAX(0,ROUND(($B$3-SUM($G$6:G25))/D26,0))),MIN(E26,MAX(0,ROUNDDOWN(($B$3*(E26*(0.5+MOD(ABS(SIN($B$3*0.001+ROW()*12.9898))*43758.5453,1)))/SUMPRODUCT($E$7:$E$80,0.5+MOD(ABS(SIN($B$3*0.001+ROW($E$7:$E$80)*12.9898))*43758.5453,1)))/D26,0)))))</f>
        <v/>
      </c>
      <c r="G26" s="38" t="str">
        <f t="shared" si="0"/>
        <v/>
      </c>
      <c r="H26" s="38" t="str">
        <f t="shared" si="1"/>
        <v/>
      </c>
      <c r="I26" s="33" t="str">
        <f>IF(ROWS($I$7:I26)&lt;=COUNTIF('T4.2026'!$A$2:$A$75,"?*"),ROWS($I$7:I26)+1,"")</f>
        <v/>
      </c>
      <c r="J26" s="33">
        <f t="shared" si="2"/>
        <v>9.9999999999999997E+98</v>
      </c>
    </row>
    <row r="27" spans="1:10" ht="15.75" customHeight="1" x14ac:dyDescent="0.25">
      <c r="A27" s="33" t="str">
        <f t="array" ref="A27">IF(ROWS($A$7:A27)&gt;COUNTIF('T4.2026'!$A$2:$A$75,"?*"),"",INDEX('T4.2026'!A:A,INDEX($I$7:$I$80,MATCH(SMALL($J$7:$J$80,ROWS($A$7:A27)),$J$7:$J$80,0))))</f>
        <v/>
      </c>
      <c r="B27" s="37" t="str">
        <f t="array" ref="B27">IF($A27="","",INDEX('T4.2026'!B:B,INDEX($I$7:$I$80,MATCH(SMALL($J$7:$J$80,ROWS($A$7:A27)),$J$7:$J$80,0))))</f>
        <v/>
      </c>
      <c r="C27" s="33" t="str">
        <f t="array" ref="C27">IF($A27="","",INDEX('T4.2026'!C:C,INDEX($I$7:$I$80,MATCH(SMALL($J$7:$J$80,ROWS($A$7:A27)),$J$7:$J$80,0))))</f>
        <v/>
      </c>
      <c r="D27" s="38" t="str">
        <f t="array" ref="D27">IF($A27="","",ROUND(INDEX('T4.2026'!D:D,INDEX($I$7:$I$80,MATCH(SMALL($J$7:$J$80,ROWS($A$7:A27)),$J$7:$J$80,0))),0))</f>
        <v/>
      </c>
      <c r="E27" s="38" t="str">
        <f t="array" ref="E27">IF($A27="","",INDEX('T4.2026'!E:E,INDEX($I$7:$I$80,MATCH(SMALL($J$7:$J$80,ROWS($A$7:A27)),$J$7:$J$80,0))))</f>
        <v/>
      </c>
      <c r="F27" s="38" t="str">
        <f t="array" ref="F27">IF($A27="","",IF(ROWS($A$7:A27)=COUNTIF('T4.2026'!$A$2:$A$75,"?*"),MIN(E27,MAX(0,ROUND(($B$3-SUM($G$6:G26))/D27,0))),MIN(E27,MAX(0,ROUNDDOWN(($B$3*(E27*(0.5+MOD(ABS(SIN($B$3*0.001+ROW()*12.9898))*43758.5453,1)))/SUMPRODUCT($E$7:$E$80,0.5+MOD(ABS(SIN($B$3*0.001+ROW($E$7:$E$80)*12.9898))*43758.5453,1)))/D27,0)))))</f>
        <v/>
      </c>
      <c r="G27" s="38" t="str">
        <f t="shared" si="0"/>
        <v/>
      </c>
      <c r="H27" s="38" t="str">
        <f t="shared" si="1"/>
        <v/>
      </c>
      <c r="I27" s="33" t="str">
        <f>IF(ROWS($I$7:I27)&lt;=COUNTIF('T4.2026'!$A$2:$A$75,"?*"),ROWS($I$7:I27)+1,"")</f>
        <v/>
      </c>
      <c r="J27" s="33">
        <f t="shared" si="2"/>
        <v>9.9999999999999997E+98</v>
      </c>
    </row>
    <row r="28" spans="1:10" ht="15.75" customHeight="1" x14ac:dyDescent="0.25">
      <c r="A28" s="33" t="str">
        <f t="array" ref="A28">IF(ROWS($A$7:A28)&gt;COUNTIF('T4.2026'!$A$2:$A$75,"?*"),"",INDEX('T4.2026'!A:A,INDEX($I$7:$I$80,MATCH(SMALL($J$7:$J$80,ROWS($A$7:A28)),$J$7:$J$80,0))))</f>
        <v/>
      </c>
      <c r="B28" s="37" t="str">
        <f t="array" ref="B28">IF($A28="","",INDEX('T4.2026'!B:B,INDEX($I$7:$I$80,MATCH(SMALL($J$7:$J$80,ROWS($A$7:A28)),$J$7:$J$80,0))))</f>
        <v/>
      </c>
      <c r="C28" s="33" t="str">
        <f t="array" ref="C28">IF($A28="","",INDEX('T4.2026'!C:C,INDEX($I$7:$I$80,MATCH(SMALL($J$7:$J$80,ROWS($A$7:A28)),$J$7:$J$80,0))))</f>
        <v/>
      </c>
      <c r="D28" s="38" t="str">
        <f t="array" ref="D28">IF($A28="","",ROUND(INDEX('T4.2026'!D:D,INDEX($I$7:$I$80,MATCH(SMALL($J$7:$J$80,ROWS($A$7:A28)),$J$7:$J$80,0))),0))</f>
        <v/>
      </c>
      <c r="E28" s="38" t="str">
        <f t="array" ref="E28">IF($A28="","",INDEX('T4.2026'!E:E,INDEX($I$7:$I$80,MATCH(SMALL($J$7:$J$80,ROWS($A$7:A28)),$J$7:$J$80,0))))</f>
        <v/>
      </c>
      <c r="F28" s="38" t="str">
        <f t="array" ref="F28">IF($A28="","",IF(ROWS($A$7:A28)=COUNTIF('T4.2026'!$A$2:$A$75,"?*"),MIN(E28,MAX(0,ROUND(($B$3-SUM($G$6:G27))/D28,0))),MIN(E28,MAX(0,ROUNDDOWN(($B$3*(E28*(0.5+MOD(ABS(SIN($B$3*0.001+ROW()*12.9898))*43758.5453,1)))/SUMPRODUCT($E$7:$E$80,0.5+MOD(ABS(SIN($B$3*0.001+ROW($E$7:$E$80)*12.9898))*43758.5453,1)))/D28,0)))))</f>
        <v/>
      </c>
      <c r="G28" s="38" t="str">
        <f t="shared" si="0"/>
        <v/>
      </c>
      <c r="H28" s="38" t="str">
        <f t="shared" si="1"/>
        <v/>
      </c>
      <c r="I28" s="33" t="str">
        <f>IF(ROWS($I$7:I28)&lt;=COUNTIF('T4.2026'!$A$2:$A$75,"?*"),ROWS($I$7:I28)+1,"")</f>
        <v/>
      </c>
      <c r="J28" s="33">
        <f t="shared" si="2"/>
        <v>9.9999999999999997E+98</v>
      </c>
    </row>
    <row r="29" spans="1:10" ht="15.75" customHeight="1" x14ac:dyDescent="0.25">
      <c r="A29" s="33" t="str">
        <f t="array" ref="A29">IF(ROWS($A$7:A29)&gt;COUNTIF('T4.2026'!$A$2:$A$75,"?*"),"",INDEX('T4.2026'!A:A,INDEX($I$7:$I$80,MATCH(SMALL($J$7:$J$80,ROWS($A$7:A29)),$J$7:$J$80,0))))</f>
        <v/>
      </c>
      <c r="B29" s="37" t="str">
        <f t="array" ref="B29">IF($A29="","",INDEX('T4.2026'!B:B,INDEX($I$7:$I$80,MATCH(SMALL($J$7:$J$80,ROWS($A$7:A29)),$J$7:$J$80,0))))</f>
        <v/>
      </c>
      <c r="C29" s="33" t="str">
        <f t="array" ref="C29">IF($A29="","",INDEX('T4.2026'!C:C,INDEX($I$7:$I$80,MATCH(SMALL($J$7:$J$80,ROWS($A$7:A29)),$J$7:$J$80,0))))</f>
        <v/>
      </c>
      <c r="D29" s="38" t="str">
        <f t="array" ref="D29">IF($A29="","",ROUND(INDEX('T4.2026'!D:D,INDEX($I$7:$I$80,MATCH(SMALL($J$7:$J$80,ROWS($A$7:A29)),$J$7:$J$80,0))),0))</f>
        <v/>
      </c>
      <c r="E29" s="38" t="str">
        <f t="array" ref="E29">IF($A29="","",INDEX('T4.2026'!E:E,INDEX($I$7:$I$80,MATCH(SMALL($J$7:$J$80,ROWS($A$7:A29)),$J$7:$J$80,0))))</f>
        <v/>
      </c>
      <c r="F29" s="38" t="str">
        <f t="array" ref="F29">IF($A29="","",IF(ROWS($A$7:A29)=COUNTIF('T4.2026'!$A$2:$A$75,"?*"),MIN(E29,MAX(0,ROUND(($B$3-SUM($G$6:G28))/D29,0))),MIN(E29,MAX(0,ROUNDDOWN(($B$3*(E29*(0.5+MOD(ABS(SIN($B$3*0.001+ROW()*12.9898))*43758.5453,1)))/SUMPRODUCT($E$7:$E$80,0.5+MOD(ABS(SIN($B$3*0.001+ROW($E$7:$E$80)*12.9898))*43758.5453,1)))/D29,0)))))</f>
        <v/>
      </c>
      <c r="G29" s="38" t="str">
        <f t="shared" si="0"/>
        <v/>
      </c>
      <c r="H29" s="38" t="str">
        <f t="shared" si="1"/>
        <v/>
      </c>
      <c r="I29" s="33" t="str">
        <f>IF(ROWS($I$7:I29)&lt;=COUNTIF('T4.2026'!$A$2:$A$75,"?*"),ROWS($I$7:I29)+1,"")</f>
        <v/>
      </c>
      <c r="J29" s="33">
        <f t="shared" si="2"/>
        <v>9.9999999999999997E+98</v>
      </c>
    </row>
    <row r="30" spans="1:10" ht="15.75" customHeight="1" x14ac:dyDescent="0.25">
      <c r="A30" s="33" t="str">
        <f t="array" ref="A30">IF(ROWS($A$7:A30)&gt;COUNTIF('T4.2026'!$A$2:$A$75,"?*"),"",INDEX('T4.2026'!A:A,INDEX($I$7:$I$80,MATCH(SMALL($J$7:$J$80,ROWS($A$7:A30)),$J$7:$J$80,0))))</f>
        <v/>
      </c>
      <c r="B30" s="37" t="str">
        <f t="array" ref="B30">IF($A30="","",INDEX('T4.2026'!B:B,INDEX($I$7:$I$80,MATCH(SMALL($J$7:$J$80,ROWS($A$7:A30)),$J$7:$J$80,0))))</f>
        <v/>
      </c>
      <c r="C30" s="33" t="str">
        <f t="array" ref="C30">IF($A30="","",INDEX('T4.2026'!C:C,INDEX($I$7:$I$80,MATCH(SMALL($J$7:$J$80,ROWS($A$7:A30)),$J$7:$J$80,0))))</f>
        <v/>
      </c>
      <c r="D30" s="38" t="str">
        <f t="array" ref="D30">IF($A30="","",ROUND(INDEX('T4.2026'!D:D,INDEX($I$7:$I$80,MATCH(SMALL($J$7:$J$80,ROWS($A$7:A30)),$J$7:$J$80,0))),0))</f>
        <v/>
      </c>
      <c r="E30" s="38" t="str">
        <f t="array" ref="E30">IF($A30="","",INDEX('T4.2026'!E:E,INDEX($I$7:$I$80,MATCH(SMALL($J$7:$J$80,ROWS($A$7:A30)),$J$7:$J$80,0))))</f>
        <v/>
      </c>
      <c r="F30" s="38" t="str">
        <f t="array" ref="F30">IF($A30="","",IF(ROWS($A$7:A30)=COUNTIF('T4.2026'!$A$2:$A$75,"?*"),MIN(E30,MAX(0,ROUND(($B$3-SUM($G$6:G29))/D30,0))),MIN(E30,MAX(0,ROUNDDOWN(($B$3*(E30*(0.5+MOD(ABS(SIN($B$3*0.001+ROW()*12.9898))*43758.5453,1)))/SUMPRODUCT($E$7:$E$80,0.5+MOD(ABS(SIN($B$3*0.001+ROW($E$7:$E$80)*12.9898))*43758.5453,1)))/D30,0)))))</f>
        <v/>
      </c>
      <c r="G30" s="38" t="str">
        <f t="shared" si="0"/>
        <v/>
      </c>
      <c r="H30" s="38" t="str">
        <f t="shared" si="1"/>
        <v/>
      </c>
      <c r="I30" s="33" t="str">
        <f>IF(ROWS($I$7:I30)&lt;=COUNTIF('T4.2026'!$A$2:$A$75,"?*"),ROWS($I$7:I30)+1,"")</f>
        <v/>
      </c>
      <c r="J30" s="33">
        <f t="shared" si="2"/>
        <v>9.9999999999999997E+98</v>
      </c>
    </row>
    <row r="31" spans="1:10" ht="15.75" customHeight="1" x14ac:dyDescent="0.25">
      <c r="A31" s="33" t="str">
        <f t="array" ref="A31">IF(ROWS($A$7:A31)&gt;COUNTIF('T4.2026'!$A$2:$A$75,"?*"),"",INDEX('T4.2026'!A:A,INDEX($I$7:$I$80,MATCH(SMALL($J$7:$J$80,ROWS($A$7:A31)),$J$7:$J$80,0))))</f>
        <v/>
      </c>
      <c r="B31" s="37" t="str">
        <f t="array" ref="B31">IF($A31="","",INDEX('T4.2026'!B:B,INDEX($I$7:$I$80,MATCH(SMALL($J$7:$J$80,ROWS($A$7:A31)),$J$7:$J$80,0))))</f>
        <v/>
      </c>
      <c r="C31" s="33" t="str">
        <f t="array" ref="C31">IF($A31="","",INDEX('T4.2026'!C:C,INDEX($I$7:$I$80,MATCH(SMALL($J$7:$J$80,ROWS($A$7:A31)),$J$7:$J$80,0))))</f>
        <v/>
      </c>
      <c r="D31" s="38" t="str">
        <f t="array" ref="D31">IF($A31="","",ROUND(INDEX('T4.2026'!D:D,INDEX($I$7:$I$80,MATCH(SMALL($J$7:$J$80,ROWS($A$7:A31)),$J$7:$J$80,0))),0))</f>
        <v/>
      </c>
      <c r="E31" s="38" t="str">
        <f t="array" ref="E31">IF($A31="","",INDEX('T4.2026'!E:E,INDEX($I$7:$I$80,MATCH(SMALL($J$7:$J$80,ROWS($A$7:A31)),$J$7:$J$80,0))))</f>
        <v/>
      </c>
      <c r="F31" s="38" t="str">
        <f t="array" ref="F31">IF($A31="","",IF(ROWS($A$7:A31)=COUNTIF('T4.2026'!$A$2:$A$75,"?*"),MIN(E31,MAX(0,ROUND(($B$3-SUM($G$6:G30))/D31,0))),MIN(E31,MAX(0,ROUNDDOWN(($B$3*(E31*(0.5+MOD(ABS(SIN($B$3*0.001+ROW()*12.9898))*43758.5453,1)))/SUMPRODUCT($E$7:$E$80,0.5+MOD(ABS(SIN($B$3*0.001+ROW($E$7:$E$80)*12.9898))*43758.5453,1)))/D31,0)))))</f>
        <v/>
      </c>
      <c r="G31" s="38" t="str">
        <f t="shared" si="0"/>
        <v/>
      </c>
      <c r="H31" s="38" t="str">
        <f t="shared" si="1"/>
        <v/>
      </c>
      <c r="I31" s="33" t="str">
        <f>IF(ROWS($I$7:I31)&lt;=COUNTIF('T4.2026'!$A$2:$A$75,"?*"),ROWS($I$7:I31)+1,"")</f>
        <v/>
      </c>
      <c r="J31" s="33">
        <f t="shared" si="2"/>
        <v>9.9999999999999997E+98</v>
      </c>
    </row>
    <row r="32" spans="1:10" ht="15.75" customHeight="1" x14ac:dyDescent="0.25">
      <c r="A32" s="33" t="str">
        <f t="array" ref="A32">IF(ROWS($A$7:A32)&gt;COUNTIF('T4.2026'!$A$2:$A$75,"?*"),"",INDEX('T4.2026'!A:A,INDEX($I$7:$I$80,MATCH(SMALL($J$7:$J$80,ROWS($A$7:A32)),$J$7:$J$80,0))))</f>
        <v/>
      </c>
      <c r="B32" s="37" t="str">
        <f t="array" ref="B32">IF($A32="","",INDEX('T4.2026'!B:B,INDEX($I$7:$I$80,MATCH(SMALL($J$7:$J$80,ROWS($A$7:A32)),$J$7:$J$80,0))))</f>
        <v/>
      </c>
      <c r="C32" s="33" t="str">
        <f t="array" ref="C32">IF($A32="","",INDEX('T4.2026'!C:C,INDEX($I$7:$I$80,MATCH(SMALL($J$7:$J$80,ROWS($A$7:A32)),$J$7:$J$80,0))))</f>
        <v/>
      </c>
      <c r="D32" s="38" t="str">
        <f t="array" ref="D32">IF($A32="","",ROUND(INDEX('T4.2026'!D:D,INDEX($I$7:$I$80,MATCH(SMALL($J$7:$J$80,ROWS($A$7:A32)),$J$7:$J$80,0))),0))</f>
        <v/>
      </c>
      <c r="E32" s="38" t="str">
        <f t="array" ref="E32">IF($A32="","",INDEX('T4.2026'!E:E,INDEX($I$7:$I$80,MATCH(SMALL($J$7:$J$80,ROWS($A$7:A32)),$J$7:$J$80,0))))</f>
        <v/>
      </c>
      <c r="F32" s="38" t="str">
        <f t="array" ref="F32">IF($A32="","",IF(ROWS($A$7:A32)=COUNTIF('T4.2026'!$A$2:$A$75,"?*"),MIN(E32,MAX(0,ROUND(($B$3-SUM($G$6:G31))/D32,0))),MIN(E32,MAX(0,ROUNDDOWN(($B$3*(E32*(0.5+MOD(ABS(SIN($B$3*0.001+ROW()*12.9898))*43758.5453,1)))/SUMPRODUCT($E$7:$E$80,0.5+MOD(ABS(SIN($B$3*0.001+ROW($E$7:$E$80)*12.9898))*43758.5453,1)))/D32,0)))))</f>
        <v/>
      </c>
      <c r="G32" s="38" t="str">
        <f t="shared" si="0"/>
        <v/>
      </c>
      <c r="H32" s="38" t="str">
        <f t="shared" si="1"/>
        <v/>
      </c>
      <c r="I32" s="33" t="str">
        <f>IF(ROWS($I$7:I32)&lt;=COUNTIF('T4.2026'!$A$2:$A$75,"?*"),ROWS($I$7:I32)+1,"")</f>
        <v/>
      </c>
      <c r="J32" s="33">
        <f t="shared" si="2"/>
        <v>9.9999999999999997E+98</v>
      </c>
    </row>
    <row r="33" spans="1:10" ht="15.75" customHeight="1" x14ac:dyDescent="0.25">
      <c r="A33" s="33" t="str">
        <f t="array" ref="A33">IF(ROWS($A$7:A33)&gt;COUNTIF('T4.2026'!$A$2:$A$75,"?*"),"",INDEX('T4.2026'!A:A,INDEX($I$7:$I$80,MATCH(SMALL($J$7:$J$80,ROWS($A$7:A33)),$J$7:$J$80,0))))</f>
        <v/>
      </c>
      <c r="B33" s="37" t="str">
        <f t="array" ref="B33">IF($A33="","",INDEX('T4.2026'!B:B,INDEX($I$7:$I$80,MATCH(SMALL($J$7:$J$80,ROWS($A$7:A33)),$J$7:$J$80,0))))</f>
        <v/>
      </c>
      <c r="C33" s="33" t="str">
        <f t="array" ref="C33">IF($A33="","",INDEX('T4.2026'!C:C,INDEX($I$7:$I$80,MATCH(SMALL($J$7:$J$80,ROWS($A$7:A33)),$J$7:$J$80,0))))</f>
        <v/>
      </c>
      <c r="D33" s="38" t="str">
        <f t="array" ref="D33">IF($A33="","",ROUND(INDEX('T4.2026'!D:D,INDEX($I$7:$I$80,MATCH(SMALL($J$7:$J$80,ROWS($A$7:A33)),$J$7:$J$80,0))),0))</f>
        <v/>
      </c>
      <c r="E33" s="38" t="str">
        <f t="array" ref="E33">IF($A33="","",INDEX('T4.2026'!E:E,INDEX($I$7:$I$80,MATCH(SMALL($J$7:$J$80,ROWS($A$7:A33)),$J$7:$J$80,0))))</f>
        <v/>
      </c>
      <c r="F33" s="38" t="str">
        <f t="array" ref="F33">IF($A33="","",IF(ROWS($A$7:A33)=COUNTIF('T4.2026'!$A$2:$A$75,"?*"),MIN(E33,MAX(0,ROUND(($B$3-SUM($G$6:G32))/D33,0))),MIN(E33,MAX(0,ROUNDDOWN(($B$3*(E33*(0.5+MOD(ABS(SIN($B$3*0.001+ROW()*12.9898))*43758.5453,1)))/SUMPRODUCT($E$7:$E$80,0.5+MOD(ABS(SIN($B$3*0.001+ROW($E$7:$E$80)*12.9898))*43758.5453,1)))/D33,0)))))</f>
        <v/>
      </c>
      <c r="G33" s="38" t="str">
        <f t="shared" si="0"/>
        <v/>
      </c>
      <c r="H33" s="38" t="str">
        <f t="shared" si="1"/>
        <v/>
      </c>
      <c r="I33" s="33" t="str">
        <f>IF(ROWS($I$7:I33)&lt;=COUNTIF('T4.2026'!$A$2:$A$75,"?*"),ROWS($I$7:I33)+1,"")</f>
        <v/>
      </c>
      <c r="J33" s="33">
        <f t="shared" si="2"/>
        <v>9.9999999999999997E+98</v>
      </c>
    </row>
    <row r="34" spans="1:10" ht="15.75" customHeight="1" x14ac:dyDescent="0.25">
      <c r="A34" s="33" t="str">
        <f t="array" ref="A34">IF(ROWS($A$7:A34)&gt;COUNTIF('T4.2026'!$A$2:$A$75,"?*"),"",INDEX('T4.2026'!A:A,INDEX($I$7:$I$80,MATCH(SMALL($J$7:$J$80,ROWS($A$7:A34)),$J$7:$J$80,0))))</f>
        <v/>
      </c>
      <c r="B34" s="37" t="str">
        <f t="array" ref="B34">IF($A34="","",INDEX('T4.2026'!B:B,INDEX($I$7:$I$80,MATCH(SMALL($J$7:$J$80,ROWS($A$7:A34)),$J$7:$J$80,0))))</f>
        <v/>
      </c>
      <c r="C34" s="33" t="str">
        <f t="array" ref="C34">IF($A34="","",INDEX('T4.2026'!C:C,INDEX($I$7:$I$80,MATCH(SMALL($J$7:$J$80,ROWS($A$7:A34)),$J$7:$J$80,0))))</f>
        <v/>
      </c>
      <c r="D34" s="38" t="str">
        <f t="array" ref="D34">IF($A34="","",ROUND(INDEX('T4.2026'!D:D,INDEX($I$7:$I$80,MATCH(SMALL($J$7:$J$80,ROWS($A$7:A34)),$J$7:$J$80,0))),0))</f>
        <v/>
      </c>
      <c r="E34" s="38" t="str">
        <f t="array" ref="E34">IF($A34="","",INDEX('T4.2026'!E:E,INDEX($I$7:$I$80,MATCH(SMALL($J$7:$J$80,ROWS($A$7:A34)),$J$7:$J$80,0))))</f>
        <v/>
      </c>
      <c r="F34" s="38" t="str">
        <f t="array" ref="F34">IF($A34="","",IF(ROWS($A$7:A34)=COUNTIF('T4.2026'!$A$2:$A$75,"?*"),MIN(E34,MAX(0,ROUND(($B$3-SUM($G$6:G33))/D34,0))),MIN(E34,MAX(0,ROUNDDOWN(($B$3*(E34*(0.5+MOD(ABS(SIN($B$3*0.001+ROW()*12.9898))*43758.5453,1)))/SUMPRODUCT($E$7:$E$80,0.5+MOD(ABS(SIN($B$3*0.001+ROW($E$7:$E$80)*12.9898))*43758.5453,1)))/D34,0)))))</f>
        <v/>
      </c>
      <c r="G34" s="38" t="str">
        <f t="shared" si="0"/>
        <v/>
      </c>
      <c r="H34" s="38" t="str">
        <f t="shared" si="1"/>
        <v/>
      </c>
      <c r="I34" s="33" t="str">
        <f>IF(ROWS($I$7:I34)&lt;=COUNTIF('T4.2026'!$A$2:$A$75,"?*"),ROWS($I$7:I34)+1,"")</f>
        <v/>
      </c>
      <c r="J34" s="33">
        <f t="shared" si="2"/>
        <v>9.9999999999999997E+98</v>
      </c>
    </row>
    <row r="35" spans="1:10" ht="15.75" customHeight="1" x14ac:dyDescent="0.25">
      <c r="A35" s="33" t="str">
        <f t="array" ref="A35">IF(ROWS($A$7:A35)&gt;COUNTIF('T4.2026'!$A$2:$A$75,"?*"),"",INDEX('T4.2026'!A:A,INDEX($I$7:$I$80,MATCH(SMALL($J$7:$J$80,ROWS($A$7:A35)),$J$7:$J$80,0))))</f>
        <v/>
      </c>
      <c r="B35" s="37" t="str">
        <f t="array" ref="B35">IF($A35="","",INDEX('T4.2026'!B:B,INDEX($I$7:$I$80,MATCH(SMALL($J$7:$J$80,ROWS($A$7:A35)),$J$7:$J$80,0))))</f>
        <v/>
      </c>
      <c r="C35" s="33" t="str">
        <f t="array" ref="C35">IF($A35="","",INDEX('T4.2026'!C:C,INDEX($I$7:$I$80,MATCH(SMALL($J$7:$J$80,ROWS($A$7:A35)),$J$7:$J$80,0))))</f>
        <v/>
      </c>
      <c r="D35" s="38" t="str">
        <f t="array" ref="D35">IF($A35="","",ROUND(INDEX('T4.2026'!D:D,INDEX($I$7:$I$80,MATCH(SMALL($J$7:$J$80,ROWS($A$7:A35)),$J$7:$J$80,0))),0))</f>
        <v/>
      </c>
      <c r="E35" s="38" t="str">
        <f t="array" ref="E35">IF($A35="","",INDEX('T4.2026'!E:E,INDEX($I$7:$I$80,MATCH(SMALL($J$7:$J$80,ROWS($A$7:A35)),$J$7:$J$80,0))))</f>
        <v/>
      </c>
      <c r="F35" s="38" t="str">
        <f t="array" ref="F35">IF($A35="","",IF(ROWS($A$7:A35)=COUNTIF('T4.2026'!$A$2:$A$75,"?*"),MIN(E35,MAX(0,ROUND(($B$3-SUM($G$6:G34))/D35,0))),MIN(E35,MAX(0,ROUNDDOWN(($B$3*(E35*(0.5+MOD(ABS(SIN($B$3*0.001+ROW()*12.9898))*43758.5453,1)))/SUMPRODUCT($E$7:$E$80,0.5+MOD(ABS(SIN($B$3*0.001+ROW($E$7:$E$80)*12.9898))*43758.5453,1)))/D35,0)))))</f>
        <v/>
      </c>
      <c r="G35" s="38" t="str">
        <f t="shared" si="0"/>
        <v/>
      </c>
      <c r="H35" s="38" t="str">
        <f t="shared" si="1"/>
        <v/>
      </c>
      <c r="I35" s="33" t="str">
        <f>IF(ROWS($I$7:I35)&lt;=COUNTIF('T4.2026'!$A$2:$A$75,"?*"),ROWS($I$7:I35)+1,"")</f>
        <v/>
      </c>
      <c r="J35" s="33">
        <f t="shared" si="2"/>
        <v>9.9999999999999997E+98</v>
      </c>
    </row>
    <row r="36" spans="1:10" ht="15.75" customHeight="1" x14ac:dyDescent="0.25">
      <c r="A36" s="33" t="str">
        <f t="array" ref="A36">IF(ROWS($A$7:A36)&gt;COUNTIF('T4.2026'!$A$2:$A$75,"?*"),"",INDEX('T4.2026'!A:A,INDEX($I$7:$I$80,MATCH(SMALL($J$7:$J$80,ROWS($A$7:A36)),$J$7:$J$80,0))))</f>
        <v/>
      </c>
      <c r="B36" s="37" t="str">
        <f t="array" ref="B36">IF($A36="","",INDEX('T4.2026'!B:B,INDEX($I$7:$I$80,MATCH(SMALL($J$7:$J$80,ROWS($A$7:A36)),$J$7:$J$80,0))))</f>
        <v/>
      </c>
      <c r="C36" s="33" t="str">
        <f t="array" ref="C36">IF($A36="","",INDEX('T4.2026'!C:C,INDEX($I$7:$I$80,MATCH(SMALL($J$7:$J$80,ROWS($A$7:A36)),$J$7:$J$80,0))))</f>
        <v/>
      </c>
      <c r="D36" s="38" t="str">
        <f t="array" ref="D36">IF($A36="","",ROUND(INDEX('T4.2026'!D:D,INDEX($I$7:$I$80,MATCH(SMALL($J$7:$J$80,ROWS($A$7:A36)),$J$7:$J$80,0))),0))</f>
        <v/>
      </c>
      <c r="E36" s="38" t="str">
        <f t="array" ref="E36">IF($A36="","",INDEX('T4.2026'!E:E,INDEX($I$7:$I$80,MATCH(SMALL($J$7:$J$80,ROWS($A$7:A36)),$J$7:$J$80,0))))</f>
        <v/>
      </c>
      <c r="F36" s="38" t="str">
        <f t="array" ref="F36">IF($A36="","",IF(ROWS($A$7:A36)=COUNTIF('T4.2026'!$A$2:$A$75,"?*"),MIN(E36,MAX(0,ROUND(($B$3-SUM($G$6:G35))/D36,0))),MIN(E36,MAX(0,ROUNDDOWN(($B$3*(E36*(0.5+MOD(ABS(SIN($B$3*0.001+ROW()*12.9898))*43758.5453,1)))/SUMPRODUCT($E$7:$E$80,0.5+MOD(ABS(SIN($B$3*0.001+ROW($E$7:$E$80)*12.9898))*43758.5453,1)))/D36,0)))))</f>
        <v/>
      </c>
      <c r="G36" s="38" t="str">
        <f t="shared" si="0"/>
        <v/>
      </c>
      <c r="H36" s="38" t="str">
        <f t="shared" si="1"/>
        <v/>
      </c>
      <c r="I36" s="33" t="str">
        <f>IF(ROWS($I$7:I36)&lt;=COUNTIF('T4.2026'!$A$2:$A$75,"?*"),ROWS($I$7:I36)+1,"")</f>
        <v/>
      </c>
      <c r="J36" s="33">
        <f t="shared" si="2"/>
        <v>9.9999999999999997E+98</v>
      </c>
    </row>
    <row r="37" spans="1:10" ht="15.75" customHeight="1" x14ac:dyDescent="0.25">
      <c r="A37" s="33" t="str">
        <f t="array" ref="A37">IF(ROWS($A$7:A37)&gt;COUNTIF('T4.2026'!$A$2:$A$75,"?*"),"",INDEX('T4.2026'!A:A,INDEX($I$7:$I$80,MATCH(SMALL($J$7:$J$80,ROWS($A$7:A37)),$J$7:$J$80,0))))</f>
        <v/>
      </c>
      <c r="B37" s="37" t="str">
        <f t="array" ref="B37">IF($A37="","",INDEX('T4.2026'!B:B,INDEX($I$7:$I$80,MATCH(SMALL($J$7:$J$80,ROWS($A$7:A37)),$J$7:$J$80,0))))</f>
        <v/>
      </c>
      <c r="C37" s="33" t="str">
        <f t="array" ref="C37">IF($A37="","",INDEX('T4.2026'!C:C,INDEX($I$7:$I$80,MATCH(SMALL($J$7:$J$80,ROWS($A$7:A37)),$J$7:$J$80,0))))</f>
        <v/>
      </c>
      <c r="D37" s="38" t="str">
        <f t="array" ref="D37">IF($A37="","",ROUND(INDEX('T4.2026'!D:D,INDEX($I$7:$I$80,MATCH(SMALL($J$7:$J$80,ROWS($A$7:A37)),$J$7:$J$80,0))),0))</f>
        <v/>
      </c>
      <c r="E37" s="38" t="str">
        <f t="array" ref="E37">IF($A37="","",INDEX('T4.2026'!E:E,INDEX($I$7:$I$80,MATCH(SMALL($J$7:$J$80,ROWS($A$7:A37)),$J$7:$J$80,0))))</f>
        <v/>
      </c>
      <c r="F37" s="38" t="str">
        <f t="array" ref="F37">IF($A37="","",IF(ROWS($A$7:A37)=COUNTIF('T4.2026'!$A$2:$A$75,"?*"),MIN(E37,MAX(0,ROUND(($B$3-SUM($G$6:G36))/D37,0))),MIN(E37,MAX(0,ROUNDDOWN(($B$3*(E37*(0.5+MOD(ABS(SIN($B$3*0.001+ROW()*12.9898))*43758.5453,1)))/SUMPRODUCT($E$7:$E$80,0.5+MOD(ABS(SIN($B$3*0.001+ROW($E$7:$E$80)*12.9898))*43758.5453,1)))/D37,0)))))</f>
        <v/>
      </c>
      <c r="G37" s="38" t="str">
        <f t="shared" si="0"/>
        <v/>
      </c>
      <c r="H37" s="38" t="str">
        <f t="shared" si="1"/>
        <v/>
      </c>
      <c r="I37" s="33" t="str">
        <f>IF(ROWS($I$7:I37)&lt;=COUNTIF('T4.2026'!$A$2:$A$75,"?*"),ROWS($I$7:I37)+1,"")</f>
        <v/>
      </c>
      <c r="J37" s="33">
        <f t="shared" si="2"/>
        <v>9.9999999999999997E+98</v>
      </c>
    </row>
    <row r="38" spans="1:10" ht="15.75" customHeight="1" x14ac:dyDescent="0.25">
      <c r="A38" s="33" t="str">
        <f t="array" ref="A38">IF(ROWS($A$7:A38)&gt;COUNTIF('T4.2026'!$A$2:$A$75,"?*"),"",INDEX('T4.2026'!A:A,INDEX($I$7:$I$80,MATCH(SMALL($J$7:$J$80,ROWS($A$7:A38)),$J$7:$J$80,0))))</f>
        <v/>
      </c>
      <c r="B38" s="37" t="str">
        <f t="array" ref="B38">IF($A38="","",INDEX('T4.2026'!B:B,INDEX($I$7:$I$80,MATCH(SMALL($J$7:$J$80,ROWS($A$7:A38)),$J$7:$J$80,0))))</f>
        <v/>
      </c>
      <c r="C38" s="33" t="str">
        <f t="array" ref="C38">IF($A38="","",INDEX('T4.2026'!C:C,INDEX($I$7:$I$80,MATCH(SMALL($J$7:$J$80,ROWS($A$7:A38)),$J$7:$J$80,0))))</f>
        <v/>
      </c>
      <c r="D38" s="38" t="str">
        <f t="array" ref="D38">IF($A38="","",ROUND(INDEX('T4.2026'!D:D,INDEX($I$7:$I$80,MATCH(SMALL($J$7:$J$80,ROWS($A$7:A38)),$J$7:$J$80,0))),0))</f>
        <v/>
      </c>
      <c r="E38" s="38" t="str">
        <f t="array" ref="E38">IF($A38="","",INDEX('T4.2026'!E:E,INDEX($I$7:$I$80,MATCH(SMALL($J$7:$J$80,ROWS($A$7:A38)),$J$7:$J$80,0))))</f>
        <v/>
      </c>
      <c r="F38" s="38" t="str">
        <f t="array" ref="F38">IF($A38="","",IF(ROWS($A$7:A38)=COUNTIF('T4.2026'!$A$2:$A$75,"?*"),MIN(E38,MAX(0,ROUND(($B$3-SUM($G$6:G37))/D38,0))),MIN(E38,MAX(0,ROUNDDOWN(($B$3*(E38*(0.5+MOD(ABS(SIN($B$3*0.001+ROW()*12.9898))*43758.5453,1)))/SUMPRODUCT($E$7:$E$80,0.5+MOD(ABS(SIN($B$3*0.001+ROW($E$7:$E$80)*12.9898))*43758.5453,1)))/D38,0)))))</f>
        <v/>
      </c>
      <c r="G38" s="38" t="str">
        <f t="shared" si="0"/>
        <v/>
      </c>
      <c r="H38" s="38" t="str">
        <f t="shared" si="1"/>
        <v/>
      </c>
      <c r="I38" s="33" t="str">
        <f>IF(ROWS($I$7:I38)&lt;=COUNTIF('T4.2026'!$A$2:$A$75,"?*"),ROWS($I$7:I38)+1,"")</f>
        <v/>
      </c>
      <c r="J38" s="33">
        <f t="shared" si="2"/>
        <v>9.9999999999999997E+98</v>
      </c>
    </row>
    <row r="39" spans="1:10" ht="15.75" customHeight="1" x14ac:dyDescent="0.25">
      <c r="A39" s="33" t="str">
        <f t="array" ref="A39">IF(ROWS($A$7:A39)&gt;COUNTIF('T4.2026'!$A$2:$A$75,"?*"),"",INDEX('T4.2026'!A:A,INDEX($I$7:$I$80,MATCH(SMALL($J$7:$J$80,ROWS($A$7:A39)),$J$7:$J$80,0))))</f>
        <v/>
      </c>
      <c r="B39" s="37" t="str">
        <f t="array" ref="B39">IF($A39="","",INDEX('T4.2026'!B:B,INDEX($I$7:$I$80,MATCH(SMALL($J$7:$J$80,ROWS($A$7:A39)),$J$7:$J$80,0))))</f>
        <v/>
      </c>
      <c r="C39" s="33" t="str">
        <f t="array" ref="C39">IF($A39="","",INDEX('T4.2026'!C:C,INDEX($I$7:$I$80,MATCH(SMALL($J$7:$J$80,ROWS($A$7:A39)),$J$7:$J$80,0))))</f>
        <v/>
      </c>
      <c r="D39" s="38" t="str">
        <f t="array" ref="D39">IF($A39="","",ROUND(INDEX('T4.2026'!D:D,INDEX($I$7:$I$80,MATCH(SMALL($J$7:$J$80,ROWS($A$7:A39)),$J$7:$J$80,0))),0))</f>
        <v/>
      </c>
      <c r="E39" s="38" t="str">
        <f t="array" ref="E39">IF($A39="","",INDEX('T4.2026'!E:E,INDEX($I$7:$I$80,MATCH(SMALL($J$7:$J$80,ROWS($A$7:A39)),$J$7:$J$80,0))))</f>
        <v/>
      </c>
      <c r="F39" s="38" t="str">
        <f t="array" ref="F39">IF($A39="","",IF(ROWS($A$7:A39)=COUNTIF('T4.2026'!$A$2:$A$75,"?*"),MIN(E39,MAX(0,ROUND(($B$3-SUM($G$6:G38))/D39,0))),MIN(E39,MAX(0,ROUNDDOWN(($B$3*(E39*(0.5+MOD(ABS(SIN($B$3*0.001+ROW()*12.9898))*43758.5453,1)))/SUMPRODUCT($E$7:$E$80,0.5+MOD(ABS(SIN($B$3*0.001+ROW($E$7:$E$80)*12.9898))*43758.5453,1)))/D39,0)))))</f>
        <v/>
      </c>
      <c r="G39" s="38" t="str">
        <f t="shared" si="0"/>
        <v/>
      </c>
      <c r="H39" s="38" t="str">
        <f t="shared" si="1"/>
        <v/>
      </c>
      <c r="I39" s="33" t="str">
        <f>IF(ROWS($I$7:I39)&lt;=COUNTIF('T4.2026'!$A$2:$A$75,"?*"),ROWS($I$7:I39)+1,"")</f>
        <v/>
      </c>
      <c r="J39" s="33">
        <f t="shared" si="2"/>
        <v>9.9999999999999997E+98</v>
      </c>
    </row>
    <row r="40" spans="1:10" ht="15.75" customHeight="1" x14ac:dyDescent="0.25">
      <c r="A40" s="33" t="str">
        <f t="array" ref="A40">IF(ROWS($A$7:A40)&gt;COUNTIF('T4.2026'!$A$2:$A$75,"?*"),"",INDEX('T4.2026'!A:A,INDEX($I$7:$I$80,MATCH(SMALL($J$7:$J$80,ROWS($A$7:A40)),$J$7:$J$80,0))))</f>
        <v/>
      </c>
      <c r="B40" s="37" t="str">
        <f t="array" ref="B40">IF($A40="","",INDEX('T4.2026'!B:B,INDEX($I$7:$I$80,MATCH(SMALL($J$7:$J$80,ROWS($A$7:A40)),$J$7:$J$80,0))))</f>
        <v/>
      </c>
      <c r="C40" s="33" t="str">
        <f t="array" ref="C40">IF($A40="","",INDEX('T4.2026'!C:C,INDEX($I$7:$I$80,MATCH(SMALL($J$7:$J$80,ROWS($A$7:A40)),$J$7:$J$80,0))))</f>
        <v/>
      </c>
      <c r="D40" s="38" t="str">
        <f t="array" ref="D40">IF($A40="","",ROUND(INDEX('T4.2026'!D:D,INDEX($I$7:$I$80,MATCH(SMALL($J$7:$J$80,ROWS($A$7:A40)),$J$7:$J$80,0))),0))</f>
        <v/>
      </c>
      <c r="E40" s="38" t="str">
        <f t="array" ref="E40">IF($A40="","",INDEX('T4.2026'!E:E,INDEX($I$7:$I$80,MATCH(SMALL($J$7:$J$80,ROWS($A$7:A40)),$J$7:$J$80,0))))</f>
        <v/>
      </c>
      <c r="F40" s="38" t="str">
        <f t="array" ref="F40">IF($A40="","",IF(ROWS($A$7:A40)=COUNTIF('T4.2026'!$A$2:$A$75,"?*"),MIN(E40,MAX(0,ROUND(($B$3-SUM($G$6:G39))/D40,0))),MIN(E40,MAX(0,ROUNDDOWN(($B$3*(E40*(0.5+MOD(ABS(SIN($B$3*0.001+ROW()*12.9898))*43758.5453,1)))/SUMPRODUCT($E$7:$E$80,0.5+MOD(ABS(SIN($B$3*0.001+ROW($E$7:$E$80)*12.9898))*43758.5453,1)))/D40,0)))))</f>
        <v/>
      </c>
      <c r="G40" s="38" t="str">
        <f t="shared" si="0"/>
        <v/>
      </c>
      <c r="H40" s="38" t="str">
        <f t="shared" si="1"/>
        <v/>
      </c>
      <c r="I40" s="33" t="str">
        <f>IF(ROWS($I$7:I40)&lt;=COUNTIF('T4.2026'!$A$2:$A$75,"?*"),ROWS($I$7:I40)+1,"")</f>
        <v/>
      </c>
      <c r="J40" s="33">
        <f t="shared" si="2"/>
        <v>9.9999999999999997E+98</v>
      </c>
    </row>
    <row r="41" spans="1:10" ht="15.75" customHeight="1" x14ac:dyDescent="0.25">
      <c r="A41" s="33" t="str">
        <f t="array" ref="A41">IF(ROWS($A$7:A41)&gt;COUNTIF('T4.2026'!$A$2:$A$75,"?*"),"",INDEX('T4.2026'!A:A,INDEX($I$7:$I$80,MATCH(SMALL($J$7:$J$80,ROWS($A$7:A41)),$J$7:$J$80,0))))</f>
        <v/>
      </c>
      <c r="B41" s="37" t="str">
        <f t="array" ref="B41">IF($A41="","",INDEX('T4.2026'!B:B,INDEX($I$7:$I$80,MATCH(SMALL($J$7:$J$80,ROWS($A$7:A41)),$J$7:$J$80,0))))</f>
        <v/>
      </c>
      <c r="C41" s="33" t="str">
        <f t="array" ref="C41">IF($A41="","",INDEX('T4.2026'!C:C,INDEX($I$7:$I$80,MATCH(SMALL($J$7:$J$80,ROWS($A$7:A41)),$J$7:$J$80,0))))</f>
        <v/>
      </c>
      <c r="D41" s="38" t="str">
        <f t="array" ref="D41">IF($A41="","",ROUND(INDEX('T4.2026'!D:D,INDEX($I$7:$I$80,MATCH(SMALL($J$7:$J$80,ROWS($A$7:A41)),$J$7:$J$80,0))),0))</f>
        <v/>
      </c>
      <c r="E41" s="38" t="str">
        <f t="array" ref="E41">IF($A41="","",INDEX('T4.2026'!E:E,INDEX($I$7:$I$80,MATCH(SMALL($J$7:$J$80,ROWS($A$7:A41)),$J$7:$J$80,0))))</f>
        <v/>
      </c>
      <c r="F41" s="38" t="str">
        <f t="array" ref="F41">IF($A41="","",IF(ROWS($A$7:A41)=COUNTIF('T4.2026'!$A$2:$A$75,"?*"),MIN(E41,MAX(0,ROUND(($B$3-SUM($G$6:G40))/D41,0))),MIN(E41,MAX(0,ROUNDDOWN(($B$3*(E41*(0.5+MOD(ABS(SIN($B$3*0.001+ROW()*12.9898))*43758.5453,1)))/SUMPRODUCT($E$7:$E$80,0.5+MOD(ABS(SIN($B$3*0.001+ROW($E$7:$E$80)*12.9898))*43758.5453,1)))/D41,0)))))</f>
        <v/>
      </c>
      <c r="G41" s="38" t="str">
        <f t="shared" si="0"/>
        <v/>
      </c>
      <c r="H41" s="38" t="str">
        <f t="shared" si="1"/>
        <v/>
      </c>
      <c r="I41" s="33" t="str">
        <f>IF(ROWS($I$7:I41)&lt;=COUNTIF('T4.2026'!$A$2:$A$75,"?*"),ROWS($I$7:I41)+1,"")</f>
        <v/>
      </c>
      <c r="J41" s="33">
        <f t="shared" si="2"/>
        <v>9.9999999999999997E+98</v>
      </c>
    </row>
    <row r="42" spans="1:10" ht="15.75" customHeight="1" x14ac:dyDescent="0.25">
      <c r="A42" s="33" t="str">
        <f t="array" ref="A42">IF(ROWS($A$7:A42)&gt;COUNTIF('T4.2026'!$A$2:$A$75,"?*"),"",INDEX('T4.2026'!A:A,INDEX($I$7:$I$80,MATCH(SMALL($J$7:$J$80,ROWS($A$7:A42)),$J$7:$J$80,0))))</f>
        <v/>
      </c>
      <c r="B42" s="37" t="str">
        <f t="array" ref="B42">IF($A42="","",INDEX('T4.2026'!B:B,INDEX($I$7:$I$80,MATCH(SMALL($J$7:$J$80,ROWS($A$7:A42)),$J$7:$J$80,0))))</f>
        <v/>
      </c>
      <c r="C42" s="33" t="str">
        <f t="array" ref="C42">IF($A42="","",INDEX('T4.2026'!C:C,INDEX($I$7:$I$80,MATCH(SMALL($J$7:$J$80,ROWS($A$7:A42)),$J$7:$J$80,0))))</f>
        <v/>
      </c>
      <c r="D42" s="38" t="str">
        <f t="array" ref="D42">IF($A42="","",ROUND(INDEX('T4.2026'!D:D,INDEX($I$7:$I$80,MATCH(SMALL($J$7:$J$80,ROWS($A$7:A42)),$J$7:$J$80,0))),0))</f>
        <v/>
      </c>
      <c r="E42" s="38" t="str">
        <f t="array" ref="E42">IF($A42="","",INDEX('T4.2026'!E:E,INDEX($I$7:$I$80,MATCH(SMALL($J$7:$J$80,ROWS($A$7:A42)),$J$7:$J$80,0))))</f>
        <v/>
      </c>
      <c r="F42" s="38" t="str">
        <f t="array" ref="F42">IF($A42="","",IF(ROWS($A$7:A42)=COUNTIF('T4.2026'!$A$2:$A$75,"?*"),MIN(E42,MAX(0,ROUND(($B$3-SUM($G$6:G41))/D42,0))),MIN(E42,MAX(0,ROUNDDOWN(($B$3*(E42*(0.5+MOD(ABS(SIN($B$3*0.001+ROW()*12.9898))*43758.5453,1)))/SUMPRODUCT($E$7:$E$80,0.5+MOD(ABS(SIN($B$3*0.001+ROW($E$7:$E$80)*12.9898))*43758.5453,1)))/D42,0)))))</f>
        <v/>
      </c>
      <c r="G42" s="38" t="str">
        <f t="shared" si="0"/>
        <v/>
      </c>
      <c r="H42" s="38" t="str">
        <f t="shared" si="1"/>
        <v/>
      </c>
      <c r="I42" s="33" t="str">
        <f>IF(ROWS($I$7:I42)&lt;=COUNTIF('T4.2026'!$A$2:$A$75,"?*"),ROWS($I$7:I42)+1,"")</f>
        <v/>
      </c>
      <c r="J42" s="33">
        <f t="shared" si="2"/>
        <v>9.9999999999999997E+98</v>
      </c>
    </row>
    <row r="43" spans="1:10" ht="15.75" customHeight="1" x14ac:dyDescent="0.25">
      <c r="A43" s="33" t="str">
        <f t="array" ref="A43">IF(ROWS($A$7:A43)&gt;COUNTIF('T4.2026'!$A$2:$A$75,"?*"),"",INDEX('T4.2026'!A:A,INDEX($I$7:$I$80,MATCH(SMALL($J$7:$J$80,ROWS($A$7:A43)),$J$7:$J$80,0))))</f>
        <v/>
      </c>
      <c r="B43" s="37" t="str">
        <f t="array" ref="B43">IF($A43="","",INDEX('T4.2026'!B:B,INDEX($I$7:$I$80,MATCH(SMALL($J$7:$J$80,ROWS($A$7:A43)),$J$7:$J$80,0))))</f>
        <v/>
      </c>
      <c r="C43" s="33" t="str">
        <f t="array" ref="C43">IF($A43="","",INDEX('T4.2026'!C:C,INDEX($I$7:$I$80,MATCH(SMALL($J$7:$J$80,ROWS($A$7:A43)),$J$7:$J$80,0))))</f>
        <v/>
      </c>
      <c r="D43" s="38" t="str">
        <f t="array" ref="D43">IF($A43="","",ROUND(INDEX('T4.2026'!D:D,INDEX($I$7:$I$80,MATCH(SMALL($J$7:$J$80,ROWS($A$7:A43)),$J$7:$J$80,0))),0))</f>
        <v/>
      </c>
      <c r="E43" s="38" t="str">
        <f t="array" ref="E43">IF($A43="","",INDEX('T4.2026'!E:E,INDEX($I$7:$I$80,MATCH(SMALL($J$7:$J$80,ROWS($A$7:A43)),$J$7:$J$80,0))))</f>
        <v/>
      </c>
      <c r="F43" s="38" t="str">
        <f t="array" ref="F43">IF($A43="","",IF(ROWS($A$7:A43)=COUNTIF('T4.2026'!$A$2:$A$75,"?*"),MIN(E43,MAX(0,ROUND(($B$3-SUM($G$6:G42))/D43,0))),MIN(E43,MAX(0,ROUNDDOWN(($B$3*(E43*(0.5+MOD(ABS(SIN($B$3*0.001+ROW()*12.9898))*43758.5453,1)))/SUMPRODUCT($E$7:$E$80,0.5+MOD(ABS(SIN($B$3*0.001+ROW($E$7:$E$80)*12.9898))*43758.5453,1)))/D43,0)))))</f>
        <v/>
      </c>
      <c r="G43" s="38" t="str">
        <f t="shared" si="0"/>
        <v/>
      </c>
      <c r="H43" s="38" t="str">
        <f t="shared" si="1"/>
        <v/>
      </c>
      <c r="I43" s="33" t="str">
        <f>IF(ROWS($I$7:I43)&lt;=COUNTIF('T4.2026'!$A$2:$A$75,"?*"),ROWS($I$7:I43)+1,"")</f>
        <v/>
      </c>
      <c r="J43" s="33">
        <f t="shared" si="2"/>
        <v>9.9999999999999997E+98</v>
      </c>
    </row>
    <row r="44" spans="1:10" ht="15.75" customHeight="1" x14ac:dyDescent="0.25">
      <c r="A44" s="33" t="str">
        <f t="array" ref="A44">IF(ROWS($A$7:A44)&gt;COUNTIF('T4.2026'!$A$2:$A$75,"?*"),"",INDEX('T4.2026'!A:A,INDEX($I$7:$I$80,MATCH(SMALL($J$7:$J$80,ROWS($A$7:A44)),$J$7:$J$80,0))))</f>
        <v/>
      </c>
      <c r="B44" s="37" t="str">
        <f t="array" ref="B44">IF($A44="","",INDEX('T4.2026'!B:B,INDEX($I$7:$I$80,MATCH(SMALL($J$7:$J$80,ROWS($A$7:A44)),$J$7:$J$80,0))))</f>
        <v/>
      </c>
      <c r="C44" s="33" t="str">
        <f t="array" ref="C44">IF($A44="","",INDEX('T4.2026'!C:C,INDEX($I$7:$I$80,MATCH(SMALL($J$7:$J$80,ROWS($A$7:A44)),$J$7:$J$80,0))))</f>
        <v/>
      </c>
      <c r="D44" s="38" t="str">
        <f t="array" ref="D44">IF($A44="","",ROUND(INDEX('T4.2026'!D:D,INDEX($I$7:$I$80,MATCH(SMALL($J$7:$J$80,ROWS($A$7:A44)),$J$7:$J$80,0))),0))</f>
        <v/>
      </c>
      <c r="E44" s="38" t="str">
        <f t="array" ref="E44">IF($A44="","",INDEX('T4.2026'!E:E,INDEX($I$7:$I$80,MATCH(SMALL($J$7:$J$80,ROWS($A$7:A44)),$J$7:$J$80,0))))</f>
        <v/>
      </c>
      <c r="F44" s="38" t="str">
        <f t="array" ref="F44">IF($A44="","",IF(ROWS($A$7:A44)=COUNTIF('T4.2026'!$A$2:$A$75,"?*"),MIN(E44,MAX(0,ROUND(($B$3-SUM($G$6:G43))/D44,0))),MIN(E44,MAX(0,ROUNDDOWN(($B$3*(E44*(0.5+MOD(ABS(SIN($B$3*0.001+ROW()*12.9898))*43758.5453,1)))/SUMPRODUCT($E$7:$E$80,0.5+MOD(ABS(SIN($B$3*0.001+ROW($E$7:$E$80)*12.9898))*43758.5453,1)))/D44,0)))))</f>
        <v/>
      </c>
      <c r="G44" s="38" t="str">
        <f t="shared" si="0"/>
        <v/>
      </c>
      <c r="H44" s="38" t="str">
        <f t="shared" si="1"/>
        <v/>
      </c>
      <c r="I44" s="33" t="str">
        <f>IF(ROWS($I$7:I44)&lt;=COUNTIF('T4.2026'!$A$2:$A$75,"?*"),ROWS($I$7:I44)+1,"")</f>
        <v/>
      </c>
      <c r="J44" s="33">
        <f t="shared" si="2"/>
        <v>9.9999999999999997E+98</v>
      </c>
    </row>
    <row r="45" spans="1:10" ht="15.75" customHeight="1" x14ac:dyDescent="0.25">
      <c r="A45" s="33" t="str">
        <f t="array" ref="A45">IF(ROWS($A$7:A45)&gt;COUNTIF('T4.2026'!$A$2:$A$75,"?*"),"",INDEX('T4.2026'!A:A,INDEX($I$7:$I$80,MATCH(SMALL($J$7:$J$80,ROWS($A$7:A45)),$J$7:$J$80,0))))</f>
        <v/>
      </c>
      <c r="B45" s="37" t="str">
        <f t="array" ref="B45">IF($A45="","",INDEX('T4.2026'!B:B,INDEX($I$7:$I$80,MATCH(SMALL($J$7:$J$80,ROWS($A$7:A45)),$J$7:$J$80,0))))</f>
        <v/>
      </c>
      <c r="C45" s="33" t="str">
        <f t="array" ref="C45">IF($A45="","",INDEX('T4.2026'!C:C,INDEX($I$7:$I$80,MATCH(SMALL($J$7:$J$80,ROWS($A$7:A45)),$J$7:$J$80,0))))</f>
        <v/>
      </c>
      <c r="D45" s="38" t="str">
        <f t="array" ref="D45">IF($A45="","",ROUND(INDEX('T4.2026'!D:D,INDEX($I$7:$I$80,MATCH(SMALL($J$7:$J$80,ROWS($A$7:A45)),$J$7:$J$80,0))),0))</f>
        <v/>
      </c>
      <c r="E45" s="38" t="str">
        <f t="array" ref="E45">IF($A45="","",INDEX('T4.2026'!E:E,INDEX($I$7:$I$80,MATCH(SMALL($J$7:$J$80,ROWS($A$7:A45)),$J$7:$J$80,0))))</f>
        <v/>
      </c>
      <c r="F45" s="38" t="str">
        <f t="array" ref="F45">IF($A45="","",IF(ROWS($A$7:A45)=COUNTIF('T4.2026'!$A$2:$A$75,"?*"),MIN(E45,MAX(0,ROUND(($B$3-SUM($G$6:G44))/D45,0))),MIN(E45,MAX(0,ROUNDDOWN(($B$3*(E45*(0.5+MOD(ABS(SIN($B$3*0.001+ROW()*12.9898))*43758.5453,1)))/SUMPRODUCT($E$7:$E$80,0.5+MOD(ABS(SIN($B$3*0.001+ROW($E$7:$E$80)*12.9898))*43758.5453,1)))/D45,0)))))</f>
        <v/>
      </c>
      <c r="G45" s="38" t="str">
        <f t="shared" si="0"/>
        <v/>
      </c>
      <c r="H45" s="38" t="str">
        <f t="shared" si="1"/>
        <v/>
      </c>
      <c r="I45" s="33" t="str">
        <f>IF(ROWS($I$7:I45)&lt;=COUNTIF('T4.2026'!$A$2:$A$75,"?*"),ROWS($I$7:I45)+1,"")</f>
        <v/>
      </c>
      <c r="J45" s="33">
        <f t="shared" si="2"/>
        <v>9.9999999999999997E+98</v>
      </c>
    </row>
    <row r="46" spans="1:10" ht="15.75" customHeight="1" x14ac:dyDescent="0.25">
      <c r="A46" s="33" t="str">
        <f t="array" ref="A46">IF(ROWS($A$7:A46)&gt;COUNTIF('T4.2026'!$A$2:$A$75,"?*"),"",INDEX('T4.2026'!A:A,INDEX($I$7:$I$80,MATCH(SMALL($J$7:$J$80,ROWS($A$7:A46)),$J$7:$J$80,0))))</f>
        <v/>
      </c>
      <c r="B46" s="37" t="str">
        <f t="array" ref="B46">IF($A46="","",INDEX('T4.2026'!B:B,INDEX($I$7:$I$80,MATCH(SMALL($J$7:$J$80,ROWS($A$7:A46)),$J$7:$J$80,0))))</f>
        <v/>
      </c>
      <c r="C46" s="33" t="str">
        <f t="array" ref="C46">IF($A46="","",INDEX('T4.2026'!C:C,INDEX($I$7:$I$80,MATCH(SMALL($J$7:$J$80,ROWS($A$7:A46)),$J$7:$J$80,0))))</f>
        <v/>
      </c>
      <c r="D46" s="38" t="str">
        <f t="array" ref="D46">IF($A46="","",ROUND(INDEX('T4.2026'!D:D,INDEX($I$7:$I$80,MATCH(SMALL($J$7:$J$80,ROWS($A$7:A46)),$J$7:$J$80,0))),0))</f>
        <v/>
      </c>
      <c r="E46" s="38" t="str">
        <f t="array" ref="E46">IF($A46="","",INDEX('T4.2026'!E:E,INDEX($I$7:$I$80,MATCH(SMALL($J$7:$J$80,ROWS($A$7:A46)),$J$7:$J$80,0))))</f>
        <v/>
      </c>
      <c r="F46" s="38" t="str">
        <f t="array" ref="F46">IF($A46="","",IF(ROWS($A$7:A46)=COUNTIF('T4.2026'!$A$2:$A$75,"?*"),MIN(E46,MAX(0,ROUND(($B$3-SUM($G$6:G45))/D46,0))),MIN(E46,MAX(0,ROUNDDOWN(($B$3*(E46*(0.5+MOD(ABS(SIN($B$3*0.001+ROW()*12.9898))*43758.5453,1)))/SUMPRODUCT($E$7:$E$80,0.5+MOD(ABS(SIN($B$3*0.001+ROW($E$7:$E$80)*12.9898))*43758.5453,1)))/D46,0)))))</f>
        <v/>
      </c>
      <c r="G46" s="38" t="str">
        <f t="shared" si="0"/>
        <v/>
      </c>
      <c r="H46" s="38" t="str">
        <f t="shared" si="1"/>
        <v/>
      </c>
      <c r="I46" s="33" t="str">
        <f>IF(ROWS($I$7:I46)&lt;=COUNTIF('T4.2026'!$A$2:$A$75,"?*"),ROWS($I$7:I46)+1,"")</f>
        <v/>
      </c>
      <c r="J46" s="33">
        <f t="shared" si="2"/>
        <v>9.9999999999999997E+98</v>
      </c>
    </row>
    <row r="47" spans="1:10" ht="15.75" customHeight="1" x14ac:dyDescent="0.25">
      <c r="A47" s="33" t="str">
        <f t="array" ref="A47">IF(ROWS($A$7:A47)&gt;COUNTIF('T4.2026'!$A$2:$A$75,"?*"),"",INDEX('T4.2026'!A:A,INDEX($I$7:$I$80,MATCH(SMALL($J$7:$J$80,ROWS($A$7:A47)),$J$7:$J$80,0))))</f>
        <v/>
      </c>
      <c r="B47" s="37" t="str">
        <f t="array" ref="B47">IF($A47="","",INDEX('T4.2026'!B:B,INDEX($I$7:$I$80,MATCH(SMALL($J$7:$J$80,ROWS($A$7:A47)),$J$7:$J$80,0))))</f>
        <v/>
      </c>
      <c r="C47" s="33" t="str">
        <f t="array" ref="C47">IF($A47="","",INDEX('T4.2026'!C:C,INDEX($I$7:$I$80,MATCH(SMALL($J$7:$J$80,ROWS($A$7:A47)),$J$7:$J$80,0))))</f>
        <v/>
      </c>
      <c r="D47" s="38" t="str">
        <f t="array" ref="D47">IF($A47="","",ROUND(INDEX('T4.2026'!D:D,INDEX($I$7:$I$80,MATCH(SMALL($J$7:$J$80,ROWS($A$7:A47)),$J$7:$J$80,0))),0))</f>
        <v/>
      </c>
      <c r="E47" s="38" t="str">
        <f t="array" ref="E47">IF($A47="","",INDEX('T4.2026'!E:E,INDEX($I$7:$I$80,MATCH(SMALL($J$7:$J$80,ROWS($A$7:A47)),$J$7:$J$80,0))))</f>
        <v/>
      </c>
      <c r="F47" s="38" t="str">
        <f t="array" ref="F47">IF($A47="","",IF(ROWS($A$7:A47)=COUNTIF('T4.2026'!$A$2:$A$75,"?*"),MIN(E47,MAX(0,ROUND(($B$3-SUM($G$6:G46))/D47,0))),MIN(E47,MAX(0,ROUNDDOWN(($B$3*(E47*(0.5+MOD(ABS(SIN($B$3*0.001+ROW()*12.9898))*43758.5453,1)))/SUMPRODUCT($E$7:$E$80,0.5+MOD(ABS(SIN($B$3*0.001+ROW($E$7:$E$80)*12.9898))*43758.5453,1)))/D47,0)))))</f>
        <v/>
      </c>
      <c r="G47" s="38" t="str">
        <f t="shared" si="0"/>
        <v/>
      </c>
      <c r="H47" s="38" t="str">
        <f t="shared" si="1"/>
        <v/>
      </c>
      <c r="I47" s="33" t="str">
        <f>IF(ROWS($I$7:I47)&lt;=COUNTIF('T4.2026'!$A$2:$A$75,"?*"),ROWS($I$7:I47)+1,"")</f>
        <v/>
      </c>
      <c r="J47" s="33">
        <f t="shared" si="2"/>
        <v>9.9999999999999997E+98</v>
      </c>
    </row>
    <row r="48" spans="1:10" ht="15.75" customHeight="1" x14ac:dyDescent="0.25">
      <c r="A48" s="33" t="str">
        <f t="array" ref="A48">IF(ROWS($A$7:A48)&gt;COUNTIF('T4.2026'!$A$2:$A$75,"?*"),"",INDEX('T4.2026'!A:A,INDEX($I$7:$I$80,MATCH(SMALL($J$7:$J$80,ROWS($A$7:A48)),$J$7:$J$80,0))))</f>
        <v/>
      </c>
      <c r="B48" s="37" t="str">
        <f t="array" ref="B48">IF($A48="","",INDEX('T4.2026'!B:B,INDEX($I$7:$I$80,MATCH(SMALL($J$7:$J$80,ROWS($A$7:A48)),$J$7:$J$80,0))))</f>
        <v/>
      </c>
      <c r="C48" s="33" t="str">
        <f t="array" ref="C48">IF($A48="","",INDEX('T4.2026'!C:C,INDEX($I$7:$I$80,MATCH(SMALL($J$7:$J$80,ROWS($A$7:A48)),$J$7:$J$80,0))))</f>
        <v/>
      </c>
      <c r="D48" s="38" t="str">
        <f t="array" ref="D48">IF($A48="","",ROUND(INDEX('T4.2026'!D:D,INDEX($I$7:$I$80,MATCH(SMALL($J$7:$J$80,ROWS($A$7:A48)),$J$7:$J$80,0))),0))</f>
        <v/>
      </c>
      <c r="E48" s="38" t="str">
        <f t="array" ref="E48">IF($A48="","",INDEX('T4.2026'!E:E,INDEX($I$7:$I$80,MATCH(SMALL($J$7:$J$80,ROWS($A$7:A48)),$J$7:$J$80,0))))</f>
        <v/>
      </c>
      <c r="F48" s="38" t="str">
        <f t="array" ref="F48">IF($A48="","",IF(ROWS($A$7:A48)=COUNTIF('T4.2026'!$A$2:$A$75,"?*"),MIN(E48,MAX(0,ROUND(($B$3-SUM($G$6:G47))/D48,0))),MIN(E48,MAX(0,ROUNDDOWN(($B$3*(E48*(0.5+MOD(ABS(SIN($B$3*0.001+ROW()*12.9898))*43758.5453,1)))/SUMPRODUCT($E$7:$E$80,0.5+MOD(ABS(SIN($B$3*0.001+ROW($E$7:$E$80)*12.9898))*43758.5453,1)))/D48,0)))))</f>
        <v/>
      </c>
      <c r="G48" s="38" t="str">
        <f t="shared" si="0"/>
        <v/>
      </c>
      <c r="H48" s="38" t="str">
        <f t="shared" si="1"/>
        <v/>
      </c>
      <c r="I48" s="33" t="str">
        <f>IF(ROWS($I$7:I48)&lt;=COUNTIF('T4.2026'!$A$2:$A$75,"?*"),ROWS($I$7:I48)+1,"")</f>
        <v/>
      </c>
      <c r="J48" s="33">
        <f t="shared" si="2"/>
        <v>9.9999999999999997E+98</v>
      </c>
    </row>
    <row r="49" spans="1:10" ht="15.75" customHeight="1" x14ac:dyDescent="0.25">
      <c r="A49" s="33" t="str">
        <f t="array" ref="A49">IF(ROWS($A$7:A49)&gt;COUNTIF('T4.2026'!$A$2:$A$75,"?*"),"",INDEX('T4.2026'!A:A,INDEX($I$7:$I$80,MATCH(SMALL($J$7:$J$80,ROWS($A$7:A49)),$J$7:$J$80,0))))</f>
        <v/>
      </c>
      <c r="B49" s="37" t="str">
        <f t="array" ref="B49">IF($A49="","",INDEX('T4.2026'!B:B,INDEX($I$7:$I$80,MATCH(SMALL($J$7:$J$80,ROWS($A$7:A49)),$J$7:$J$80,0))))</f>
        <v/>
      </c>
      <c r="C49" s="33" t="str">
        <f t="array" ref="C49">IF($A49="","",INDEX('T4.2026'!C:C,INDEX($I$7:$I$80,MATCH(SMALL($J$7:$J$80,ROWS($A$7:A49)),$J$7:$J$80,0))))</f>
        <v/>
      </c>
      <c r="D49" s="38" t="str">
        <f t="array" ref="D49">IF($A49="","",ROUND(INDEX('T4.2026'!D:D,INDEX($I$7:$I$80,MATCH(SMALL($J$7:$J$80,ROWS($A$7:A49)),$J$7:$J$80,0))),0))</f>
        <v/>
      </c>
      <c r="E49" s="38" t="str">
        <f t="array" ref="E49">IF($A49="","",INDEX('T4.2026'!E:E,INDEX($I$7:$I$80,MATCH(SMALL($J$7:$J$80,ROWS($A$7:A49)),$J$7:$J$80,0))))</f>
        <v/>
      </c>
      <c r="F49" s="38" t="str">
        <f t="array" ref="F49">IF($A49="","",IF(ROWS($A$7:A49)=COUNTIF('T4.2026'!$A$2:$A$75,"?*"),MIN(E49,MAX(0,ROUND(($B$3-SUM($G$6:G48))/D49,0))),MIN(E49,MAX(0,ROUNDDOWN(($B$3*(E49*(0.5+MOD(ABS(SIN($B$3*0.001+ROW()*12.9898))*43758.5453,1)))/SUMPRODUCT($E$7:$E$80,0.5+MOD(ABS(SIN($B$3*0.001+ROW($E$7:$E$80)*12.9898))*43758.5453,1)))/D49,0)))))</f>
        <v/>
      </c>
      <c r="G49" s="38" t="str">
        <f t="shared" si="0"/>
        <v/>
      </c>
      <c r="H49" s="38" t="str">
        <f t="shared" si="1"/>
        <v/>
      </c>
      <c r="I49" s="33" t="str">
        <f>IF(ROWS($I$7:I49)&lt;=COUNTIF('T4.2026'!$A$2:$A$75,"?*"),ROWS($I$7:I49)+1,"")</f>
        <v/>
      </c>
      <c r="J49" s="33">
        <f t="shared" si="2"/>
        <v>9.9999999999999997E+98</v>
      </c>
    </row>
    <row r="50" spans="1:10" ht="15.75" customHeight="1" x14ac:dyDescent="0.25">
      <c r="A50" s="33" t="str">
        <f t="array" ref="A50">IF(ROWS($A$7:A50)&gt;COUNTIF('T4.2026'!$A$2:$A$75,"?*"),"",INDEX('T4.2026'!A:A,INDEX($I$7:$I$80,MATCH(SMALL($J$7:$J$80,ROWS($A$7:A50)),$J$7:$J$80,0))))</f>
        <v/>
      </c>
      <c r="B50" s="37" t="str">
        <f t="array" ref="B50">IF($A50="","",INDEX('T4.2026'!B:B,INDEX($I$7:$I$80,MATCH(SMALL($J$7:$J$80,ROWS($A$7:A50)),$J$7:$J$80,0))))</f>
        <v/>
      </c>
      <c r="C50" s="33" t="str">
        <f t="array" ref="C50">IF($A50="","",INDEX('T4.2026'!C:C,INDEX($I$7:$I$80,MATCH(SMALL($J$7:$J$80,ROWS($A$7:A50)),$J$7:$J$80,0))))</f>
        <v/>
      </c>
      <c r="D50" s="38" t="str">
        <f t="array" ref="D50">IF($A50="","",ROUND(INDEX('T4.2026'!D:D,INDEX($I$7:$I$80,MATCH(SMALL($J$7:$J$80,ROWS($A$7:A50)),$J$7:$J$80,0))),0))</f>
        <v/>
      </c>
      <c r="E50" s="38" t="str">
        <f t="array" ref="E50">IF($A50="","",INDEX('T4.2026'!E:E,INDEX($I$7:$I$80,MATCH(SMALL($J$7:$J$80,ROWS($A$7:A50)),$J$7:$J$80,0))))</f>
        <v/>
      </c>
      <c r="F50" s="38" t="str">
        <f t="array" ref="F50">IF($A50="","",IF(ROWS($A$7:A50)=COUNTIF('T4.2026'!$A$2:$A$75,"?*"),MIN(E50,MAX(0,ROUND(($B$3-SUM($G$6:G49))/D50,0))),MIN(E50,MAX(0,ROUNDDOWN(($B$3*(E50*(0.5+MOD(ABS(SIN($B$3*0.001+ROW()*12.9898))*43758.5453,1)))/SUMPRODUCT($E$7:$E$80,0.5+MOD(ABS(SIN($B$3*0.001+ROW($E$7:$E$80)*12.9898))*43758.5453,1)))/D50,0)))))</f>
        <v/>
      </c>
      <c r="G50" s="38" t="str">
        <f t="shared" si="0"/>
        <v/>
      </c>
      <c r="H50" s="38" t="str">
        <f t="shared" si="1"/>
        <v/>
      </c>
      <c r="I50" s="33" t="str">
        <f>IF(ROWS($I$7:I50)&lt;=COUNTIF('T4.2026'!$A$2:$A$75,"?*"),ROWS($I$7:I50)+1,"")</f>
        <v/>
      </c>
      <c r="J50" s="33">
        <f t="shared" si="2"/>
        <v>9.9999999999999997E+98</v>
      </c>
    </row>
    <row r="51" spans="1:10" ht="15.75" customHeight="1" x14ac:dyDescent="0.25">
      <c r="A51" s="33" t="str">
        <f t="array" ref="A51">IF(ROWS($A$7:A51)&gt;COUNTIF('T4.2026'!$A$2:$A$75,"?*"),"",INDEX('T4.2026'!A:A,INDEX($I$7:$I$80,MATCH(SMALL($J$7:$J$80,ROWS($A$7:A51)),$J$7:$J$80,0))))</f>
        <v/>
      </c>
      <c r="B51" s="37" t="str">
        <f t="array" ref="B51">IF($A51="","",INDEX('T4.2026'!B:B,INDEX($I$7:$I$80,MATCH(SMALL($J$7:$J$80,ROWS($A$7:A51)),$J$7:$J$80,0))))</f>
        <v/>
      </c>
      <c r="C51" s="33" t="str">
        <f t="array" ref="C51">IF($A51="","",INDEX('T4.2026'!C:C,INDEX($I$7:$I$80,MATCH(SMALL($J$7:$J$80,ROWS($A$7:A51)),$J$7:$J$80,0))))</f>
        <v/>
      </c>
      <c r="D51" s="38" t="str">
        <f t="array" ref="D51">IF($A51="","",ROUND(INDEX('T4.2026'!D:D,INDEX($I$7:$I$80,MATCH(SMALL($J$7:$J$80,ROWS($A$7:A51)),$J$7:$J$80,0))),0))</f>
        <v/>
      </c>
      <c r="E51" s="38" t="str">
        <f t="array" ref="E51">IF($A51="","",INDEX('T4.2026'!E:E,INDEX($I$7:$I$80,MATCH(SMALL($J$7:$J$80,ROWS($A$7:A51)),$J$7:$J$80,0))))</f>
        <v/>
      </c>
      <c r="F51" s="38" t="str">
        <f t="array" ref="F51">IF($A51="","",IF(ROWS($A$7:A51)=COUNTIF('T4.2026'!$A$2:$A$75,"?*"),MIN(E51,MAX(0,ROUND(($B$3-SUM($G$6:G50))/D51,0))),MIN(E51,MAX(0,ROUNDDOWN(($B$3*(E51*(0.5+MOD(ABS(SIN($B$3*0.001+ROW()*12.9898))*43758.5453,1)))/SUMPRODUCT($E$7:$E$80,0.5+MOD(ABS(SIN($B$3*0.001+ROW($E$7:$E$80)*12.9898))*43758.5453,1)))/D51,0)))))</f>
        <v/>
      </c>
      <c r="G51" s="38" t="str">
        <f t="shared" si="0"/>
        <v/>
      </c>
      <c r="H51" s="38" t="str">
        <f t="shared" si="1"/>
        <v/>
      </c>
      <c r="I51" s="33" t="str">
        <f>IF(ROWS($I$7:I51)&lt;=COUNTIF('T4.2026'!$A$2:$A$75,"?*"),ROWS($I$7:I51)+1,"")</f>
        <v/>
      </c>
      <c r="J51" s="33">
        <f t="shared" si="2"/>
        <v>9.9999999999999997E+98</v>
      </c>
    </row>
    <row r="52" spans="1:10" ht="15.75" customHeight="1" x14ac:dyDescent="0.25">
      <c r="A52" s="33" t="str">
        <f t="array" ref="A52">IF(ROWS($A$7:A52)&gt;COUNTIF('T4.2026'!$A$2:$A$75,"?*"),"",INDEX('T4.2026'!A:A,INDEX($I$7:$I$80,MATCH(SMALL($J$7:$J$80,ROWS($A$7:A52)),$J$7:$J$80,0))))</f>
        <v/>
      </c>
      <c r="B52" s="37" t="str">
        <f t="array" ref="B52">IF($A52="","",INDEX('T4.2026'!B:B,INDEX($I$7:$I$80,MATCH(SMALL($J$7:$J$80,ROWS($A$7:A52)),$J$7:$J$80,0))))</f>
        <v/>
      </c>
      <c r="C52" s="33" t="str">
        <f t="array" ref="C52">IF($A52="","",INDEX('T4.2026'!C:C,INDEX($I$7:$I$80,MATCH(SMALL($J$7:$J$80,ROWS($A$7:A52)),$J$7:$J$80,0))))</f>
        <v/>
      </c>
      <c r="D52" s="38" t="str">
        <f t="array" ref="D52">IF($A52="","",ROUND(INDEX('T4.2026'!D:D,INDEX($I$7:$I$80,MATCH(SMALL($J$7:$J$80,ROWS($A$7:A52)),$J$7:$J$80,0))),0))</f>
        <v/>
      </c>
      <c r="E52" s="38" t="str">
        <f t="array" ref="E52">IF($A52="","",INDEX('T4.2026'!E:E,INDEX($I$7:$I$80,MATCH(SMALL($J$7:$J$80,ROWS($A$7:A52)),$J$7:$J$80,0))))</f>
        <v/>
      </c>
      <c r="F52" s="38" t="str">
        <f t="array" ref="F52">IF($A52="","",IF(ROWS($A$7:A52)=COUNTIF('T4.2026'!$A$2:$A$75,"?*"),MIN(E52,MAX(0,ROUND(($B$3-SUM($G$6:G51))/D52,0))),MIN(E52,MAX(0,ROUNDDOWN(($B$3*(E52*(0.5+MOD(ABS(SIN($B$3*0.001+ROW()*12.9898))*43758.5453,1)))/SUMPRODUCT($E$7:$E$80,0.5+MOD(ABS(SIN($B$3*0.001+ROW($E$7:$E$80)*12.9898))*43758.5453,1)))/D52,0)))))</f>
        <v/>
      </c>
      <c r="G52" s="38" t="str">
        <f t="shared" si="0"/>
        <v/>
      </c>
      <c r="H52" s="38" t="str">
        <f t="shared" si="1"/>
        <v/>
      </c>
      <c r="I52" s="33" t="str">
        <f>IF(ROWS($I$7:I52)&lt;=COUNTIF('T4.2026'!$A$2:$A$75,"?*"),ROWS($I$7:I52)+1,"")</f>
        <v/>
      </c>
      <c r="J52" s="33">
        <f t="shared" si="2"/>
        <v>9.9999999999999997E+98</v>
      </c>
    </row>
    <row r="53" spans="1:10" ht="15.75" customHeight="1" x14ac:dyDescent="0.25">
      <c r="A53" s="33" t="str">
        <f t="array" ref="A53">IF(ROWS($A$7:A53)&gt;COUNTIF('T4.2026'!$A$2:$A$75,"?*"),"",INDEX('T4.2026'!A:A,INDEX($I$7:$I$80,MATCH(SMALL($J$7:$J$80,ROWS($A$7:A53)),$J$7:$J$80,0))))</f>
        <v/>
      </c>
      <c r="B53" s="37" t="str">
        <f t="array" ref="B53">IF($A53="","",INDEX('T4.2026'!B:B,INDEX($I$7:$I$80,MATCH(SMALL($J$7:$J$80,ROWS($A$7:A53)),$J$7:$J$80,0))))</f>
        <v/>
      </c>
      <c r="C53" s="33" t="str">
        <f t="array" ref="C53">IF($A53="","",INDEX('T4.2026'!C:C,INDEX($I$7:$I$80,MATCH(SMALL($J$7:$J$80,ROWS($A$7:A53)),$J$7:$J$80,0))))</f>
        <v/>
      </c>
      <c r="D53" s="38" t="str">
        <f t="array" ref="D53">IF($A53="","",ROUND(INDEX('T4.2026'!D:D,INDEX($I$7:$I$80,MATCH(SMALL($J$7:$J$80,ROWS($A$7:A53)),$J$7:$J$80,0))),0))</f>
        <v/>
      </c>
      <c r="E53" s="38" t="str">
        <f t="array" ref="E53">IF($A53="","",INDEX('T4.2026'!E:E,INDEX($I$7:$I$80,MATCH(SMALL($J$7:$J$80,ROWS($A$7:A53)),$J$7:$J$80,0))))</f>
        <v/>
      </c>
      <c r="F53" s="38" t="str">
        <f t="array" ref="F53">IF($A53="","",IF(ROWS($A$7:A53)=COUNTIF('T4.2026'!$A$2:$A$75,"?*"),MIN(E53,MAX(0,ROUND(($B$3-SUM($G$6:G52))/D53,0))),MIN(E53,MAX(0,ROUNDDOWN(($B$3*(E53*(0.5+MOD(ABS(SIN($B$3*0.001+ROW()*12.9898))*43758.5453,1)))/SUMPRODUCT($E$7:$E$80,0.5+MOD(ABS(SIN($B$3*0.001+ROW($E$7:$E$80)*12.9898))*43758.5453,1)))/D53,0)))))</f>
        <v/>
      </c>
      <c r="G53" s="38" t="str">
        <f t="shared" si="0"/>
        <v/>
      </c>
      <c r="H53" s="38" t="str">
        <f t="shared" si="1"/>
        <v/>
      </c>
      <c r="I53" s="33" t="str">
        <f>IF(ROWS($I$7:I53)&lt;=COUNTIF('T4.2026'!$A$2:$A$75,"?*"),ROWS($I$7:I53)+1,"")</f>
        <v/>
      </c>
      <c r="J53" s="33">
        <f t="shared" si="2"/>
        <v>9.9999999999999997E+98</v>
      </c>
    </row>
    <row r="54" spans="1:10" ht="15.75" customHeight="1" x14ac:dyDescent="0.25">
      <c r="A54" s="33" t="str">
        <f t="array" ref="A54">IF(ROWS($A$7:A54)&gt;COUNTIF('T4.2026'!$A$2:$A$75,"?*"),"",INDEX('T4.2026'!A:A,INDEX($I$7:$I$80,MATCH(SMALL($J$7:$J$80,ROWS($A$7:A54)),$J$7:$J$80,0))))</f>
        <v/>
      </c>
      <c r="B54" s="37" t="str">
        <f t="array" ref="B54">IF($A54="","",INDEX('T4.2026'!B:B,INDEX($I$7:$I$80,MATCH(SMALL($J$7:$J$80,ROWS($A$7:A54)),$J$7:$J$80,0))))</f>
        <v/>
      </c>
      <c r="C54" s="33" t="str">
        <f t="array" ref="C54">IF($A54="","",INDEX('T4.2026'!C:C,INDEX($I$7:$I$80,MATCH(SMALL($J$7:$J$80,ROWS($A$7:A54)),$J$7:$J$80,0))))</f>
        <v/>
      </c>
      <c r="D54" s="38" t="str">
        <f t="array" ref="D54">IF($A54="","",ROUND(INDEX('T4.2026'!D:D,INDEX($I$7:$I$80,MATCH(SMALL($J$7:$J$80,ROWS($A$7:A54)),$J$7:$J$80,0))),0))</f>
        <v/>
      </c>
      <c r="E54" s="38" t="str">
        <f t="array" ref="E54">IF($A54="","",INDEX('T4.2026'!E:E,INDEX($I$7:$I$80,MATCH(SMALL($J$7:$J$80,ROWS($A$7:A54)),$J$7:$J$80,0))))</f>
        <v/>
      </c>
      <c r="F54" s="38" t="str">
        <f t="array" ref="F54">IF($A54="","",IF(ROWS($A$7:A54)=COUNTIF('T4.2026'!$A$2:$A$75,"?*"),MIN(E54,MAX(0,ROUND(($B$3-SUM($G$6:G53))/D54,0))),MIN(E54,MAX(0,ROUNDDOWN(($B$3*(E54*(0.5+MOD(ABS(SIN($B$3*0.001+ROW()*12.9898))*43758.5453,1)))/SUMPRODUCT($E$7:$E$80,0.5+MOD(ABS(SIN($B$3*0.001+ROW($E$7:$E$80)*12.9898))*43758.5453,1)))/D54,0)))))</f>
        <v/>
      </c>
      <c r="G54" s="38" t="str">
        <f t="shared" si="0"/>
        <v/>
      </c>
      <c r="H54" s="38" t="str">
        <f t="shared" si="1"/>
        <v/>
      </c>
      <c r="I54" s="33" t="str">
        <f>IF(ROWS($I$7:I54)&lt;=COUNTIF('T4.2026'!$A$2:$A$75,"?*"),ROWS($I$7:I54)+1,"")</f>
        <v/>
      </c>
      <c r="J54" s="33">
        <f t="shared" si="2"/>
        <v>9.9999999999999997E+98</v>
      </c>
    </row>
    <row r="55" spans="1:10" ht="15.75" customHeight="1" x14ac:dyDescent="0.25">
      <c r="A55" s="33" t="str">
        <f t="array" ref="A55">IF(ROWS($A$7:A55)&gt;COUNTIF('T4.2026'!$A$2:$A$75,"?*"),"",INDEX('T4.2026'!A:A,INDEX($I$7:$I$80,MATCH(SMALL($J$7:$J$80,ROWS($A$7:A55)),$J$7:$J$80,0))))</f>
        <v/>
      </c>
      <c r="B55" s="37" t="str">
        <f t="array" ref="B55">IF($A55="","",INDEX('T4.2026'!B:B,INDEX($I$7:$I$80,MATCH(SMALL($J$7:$J$80,ROWS($A$7:A55)),$J$7:$J$80,0))))</f>
        <v/>
      </c>
      <c r="C55" s="33" t="str">
        <f t="array" ref="C55">IF($A55="","",INDEX('T4.2026'!C:C,INDEX($I$7:$I$80,MATCH(SMALL($J$7:$J$80,ROWS($A$7:A55)),$J$7:$J$80,0))))</f>
        <v/>
      </c>
      <c r="D55" s="38" t="str">
        <f t="array" ref="D55">IF($A55="","",ROUND(INDEX('T4.2026'!D:D,INDEX($I$7:$I$80,MATCH(SMALL($J$7:$J$80,ROWS($A$7:A55)),$J$7:$J$80,0))),0))</f>
        <v/>
      </c>
      <c r="E55" s="38" t="str">
        <f t="array" ref="E55">IF($A55="","",INDEX('T4.2026'!E:E,INDEX($I$7:$I$80,MATCH(SMALL($J$7:$J$80,ROWS($A$7:A55)),$J$7:$J$80,0))))</f>
        <v/>
      </c>
      <c r="F55" s="38" t="str">
        <f t="array" ref="F55">IF($A55="","",IF(ROWS($A$7:A55)=COUNTIF('T4.2026'!$A$2:$A$75,"?*"),MIN(E55,MAX(0,ROUND(($B$3-SUM($G$6:G54))/D55,0))),MIN(E55,MAX(0,ROUNDDOWN(($B$3*(E55*(0.5+MOD(ABS(SIN($B$3*0.001+ROW()*12.9898))*43758.5453,1)))/SUMPRODUCT($E$7:$E$80,0.5+MOD(ABS(SIN($B$3*0.001+ROW($E$7:$E$80)*12.9898))*43758.5453,1)))/D55,0)))))</f>
        <v/>
      </c>
      <c r="G55" s="38" t="str">
        <f t="shared" si="0"/>
        <v/>
      </c>
      <c r="H55" s="38" t="str">
        <f t="shared" si="1"/>
        <v/>
      </c>
      <c r="I55" s="33" t="str">
        <f>IF(ROWS($I$7:I55)&lt;=COUNTIF('T4.2026'!$A$2:$A$75,"?*"),ROWS($I$7:I55)+1,"")</f>
        <v/>
      </c>
      <c r="J55" s="33">
        <f t="shared" si="2"/>
        <v>9.9999999999999997E+98</v>
      </c>
    </row>
    <row r="56" spans="1:10" ht="15.75" customHeight="1" x14ac:dyDescent="0.25">
      <c r="A56" s="33" t="str">
        <f t="array" ref="A56">IF(ROWS($A$7:A56)&gt;COUNTIF('T4.2026'!$A$2:$A$75,"?*"),"",INDEX('T4.2026'!A:A,INDEX($I$7:$I$80,MATCH(SMALL($J$7:$J$80,ROWS($A$7:A56)),$J$7:$J$80,0))))</f>
        <v/>
      </c>
      <c r="B56" s="37" t="str">
        <f t="array" ref="B56">IF($A56="","",INDEX('T4.2026'!B:B,INDEX($I$7:$I$80,MATCH(SMALL($J$7:$J$80,ROWS($A$7:A56)),$J$7:$J$80,0))))</f>
        <v/>
      </c>
      <c r="C56" s="33" t="str">
        <f t="array" ref="C56">IF($A56="","",INDEX('T4.2026'!C:C,INDEX($I$7:$I$80,MATCH(SMALL($J$7:$J$80,ROWS($A$7:A56)),$J$7:$J$80,0))))</f>
        <v/>
      </c>
      <c r="D56" s="38" t="str">
        <f t="array" ref="D56">IF($A56="","",ROUND(INDEX('T4.2026'!D:D,INDEX($I$7:$I$80,MATCH(SMALL($J$7:$J$80,ROWS($A$7:A56)),$J$7:$J$80,0))),0))</f>
        <v/>
      </c>
      <c r="E56" s="38" t="str">
        <f t="array" ref="E56">IF($A56="","",INDEX('T4.2026'!E:E,INDEX($I$7:$I$80,MATCH(SMALL($J$7:$J$80,ROWS($A$7:A56)),$J$7:$J$80,0))))</f>
        <v/>
      </c>
      <c r="F56" s="38" t="str">
        <f t="array" ref="F56">IF($A56="","",IF(ROWS($A$7:A56)=COUNTIF('T4.2026'!$A$2:$A$75,"?*"),MIN(E56,MAX(0,ROUND(($B$3-SUM($G$6:G55))/D56,0))),MIN(E56,MAX(0,ROUNDDOWN(($B$3*(E56*(0.5+MOD(ABS(SIN($B$3*0.001+ROW()*12.9898))*43758.5453,1)))/SUMPRODUCT($E$7:$E$80,0.5+MOD(ABS(SIN($B$3*0.001+ROW($E$7:$E$80)*12.9898))*43758.5453,1)))/D56,0)))))</f>
        <v/>
      </c>
      <c r="G56" s="38" t="str">
        <f t="shared" si="0"/>
        <v/>
      </c>
      <c r="H56" s="38" t="str">
        <f t="shared" si="1"/>
        <v/>
      </c>
      <c r="I56" s="33" t="str">
        <f>IF(ROWS($I$7:I56)&lt;=COUNTIF('T4.2026'!$A$2:$A$75,"?*"),ROWS($I$7:I56)+1,"")</f>
        <v/>
      </c>
      <c r="J56" s="33">
        <f t="shared" si="2"/>
        <v>9.9999999999999997E+98</v>
      </c>
    </row>
    <row r="57" spans="1:10" ht="15.75" customHeight="1" x14ac:dyDescent="0.25">
      <c r="A57" s="33" t="str">
        <f t="array" ref="A57">IF(ROWS($A$7:A57)&gt;COUNTIF('T4.2026'!$A$2:$A$75,"?*"),"",INDEX('T4.2026'!A:A,INDEX($I$7:$I$80,MATCH(SMALL($J$7:$J$80,ROWS($A$7:A57)),$J$7:$J$80,0))))</f>
        <v/>
      </c>
      <c r="B57" s="37" t="str">
        <f t="array" ref="B57">IF($A57="","",INDEX('T4.2026'!B:B,INDEX($I$7:$I$80,MATCH(SMALL($J$7:$J$80,ROWS($A$7:A57)),$J$7:$J$80,0))))</f>
        <v/>
      </c>
      <c r="C57" s="33" t="str">
        <f t="array" ref="C57">IF($A57="","",INDEX('T4.2026'!C:C,INDEX($I$7:$I$80,MATCH(SMALL($J$7:$J$80,ROWS($A$7:A57)),$J$7:$J$80,0))))</f>
        <v/>
      </c>
      <c r="D57" s="38" t="str">
        <f t="array" ref="D57">IF($A57="","",ROUND(INDEX('T4.2026'!D:D,INDEX($I$7:$I$80,MATCH(SMALL($J$7:$J$80,ROWS($A$7:A57)),$J$7:$J$80,0))),0))</f>
        <v/>
      </c>
      <c r="E57" s="38" t="str">
        <f t="array" ref="E57">IF($A57="","",INDEX('T4.2026'!E:E,INDEX($I$7:$I$80,MATCH(SMALL($J$7:$J$80,ROWS($A$7:A57)),$J$7:$J$80,0))))</f>
        <v/>
      </c>
      <c r="F57" s="38" t="str">
        <f t="array" ref="F57">IF($A57="","",IF(ROWS($A$7:A57)=COUNTIF('T4.2026'!$A$2:$A$75,"?*"),MIN(E57,MAX(0,ROUND(($B$3-SUM($G$6:G56))/D57,0))),MIN(E57,MAX(0,ROUNDDOWN(($B$3*(E57*(0.5+MOD(ABS(SIN($B$3*0.001+ROW()*12.9898))*43758.5453,1)))/SUMPRODUCT($E$7:$E$80,0.5+MOD(ABS(SIN($B$3*0.001+ROW($E$7:$E$80)*12.9898))*43758.5453,1)))/D57,0)))))</f>
        <v/>
      </c>
      <c r="G57" s="38" t="str">
        <f t="shared" si="0"/>
        <v/>
      </c>
      <c r="H57" s="38" t="str">
        <f t="shared" si="1"/>
        <v/>
      </c>
      <c r="I57" s="33" t="str">
        <f>IF(ROWS($I$7:I57)&lt;=COUNTIF('T4.2026'!$A$2:$A$75,"?*"),ROWS($I$7:I57)+1,"")</f>
        <v/>
      </c>
      <c r="J57" s="33">
        <f t="shared" si="2"/>
        <v>9.9999999999999997E+98</v>
      </c>
    </row>
    <row r="58" spans="1:10" ht="15.75" customHeight="1" x14ac:dyDescent="0.25">
      <c r="A58" s="33" t="str">
        <f t="array" ref="A58">IF(ROWS($A$7:A58)&gt;COUNTIF('T4.2026'!$A$2:$A$75,"?*"),"",INDEX('T4.2026'!A:A,INDEX($I$7:$I$80,MATCH(SMALL($J$7:$J$80,ROWS($A$7:A58)),$J$7:$J$80,0))))</f>
        <v/>
      </c>
      <c r="B58" s="37" t="str">
        <f t="array" ref="B58">IF($A58="","",INDEX('T4.2026'!B:B,INDEX($I$7:$I$80,MATCH(SMALL($J$7:$J$80,ROWS($A$7:A58)),$J$7:$J$80,0))))</f>
        <v/>
      </c>
      <c r="C58" s="33" t="str">
        <f t="array" ref="C58">IF($A58="","",INDEX('T4.2026'!C:C,INDEX($I$7:$I$80,MATCH(SMALL($J$7:$J$80,ROWS($A$7:A58)),$J$7:$J$80,0))))</f>
        <v/>
      </c>
      <c r="D58" s="38" t="str">
        <f t="array" ref="D58">IF($A58="","",ROUND(INDEX('T4.2026'!D:D,INDEX($I$7:$I$80,MATCH(SMALL($J$7:$J$80,ROWS($A$7:A58)),$J$7:$J$80,0))),0))</f>
        <v/>
      </c>
      <c r="E58" s="38" t="str">
        <f t="array" ref="E58">IF($A58="","",INDEX('T4.2026'!E:E,INDEX($I$7:$I$80,MATCH(SMALL($J$7:$J$80,ROWS($A$7:A58)),$J$7:$J$80,0))))</f>
        <v/>
      </c>
      <c r="F58" s="38" t="str">
        <f t="array" ref="F58">IF($A58="","",IF(ROWS($A$7:A58)=COUNTIF('T4.2026'!$A$2:$A$75,"?*"),MIN(E58,MAX(0,ROUND(($B$3-SUM($G$6:G57))/D58,0))),MIN(E58,MAX(0,ROUNDDOWN(($B$3*(E58*(0.5+MOD(ABS(SIN($B$3*0.001+ROW()*12.9898))*43758.5453,1)))/SUMPRODUCT($E$7:$E$80,0.5+MOD(ABS(SIN($B$3*0.001+ROW($E$7:$E$80)*12.9898))*43758.5453,1)))/D58,0)))))</f>
        <v/>
      </c>
      <c r="G58" s="38" t="str">
        <f t="shared" si="0"/>
        <v/>
      </c>
      <c r="H58" s="38" t="str">
        <f t="shared" si="1"/>
        <v/>
      </c>
      <c r="I58" s="33" t="str">
        <f>IF(ROWS($I$7:I58)&lt;=COUNTIF('T4.2026'!$A$2:$A$75,"?*"),ROWS($I$7:I58)+1,"")</f>
        <v/>
      </c>
      <c r="J58" s="33">
        <f t="shared" si="2"/>
        <v>9.9999999999999997E+98</v>
      </c>
    </row>
    <row r="59" spans="1:10" ht="15.75" customHeight="1" x14ac:dyDescent="0.25">
      <c r="A59" s="33" t="str">
        <f t="array" ref="A59">IF(ROWS($A$7:A59)&gt;COUNTIF('T4.2026'!$A$2:$A$75,"?*"),"",INDEX('T4.2026'!A:A,INDEX($I$7:$I$80,MATCH(SMALL($J$7:$J$80,ROWS($A$7:A59)),$J$7:$J$80,0))))</f>
        <v/>
      </c>
      <c r="B59" s="37" t="str">
        <f t="array" ref="B59">IF($A59="","",INDEX('T4.2026'!B:B,INDEX($I$7:$I$80,MATCH(SMALL($J$7:$J$80,ROWS($A$7:A59)),$J$7:$J$80,0))))</f>
        <v/>
      </c>
      <c r="C59" s="33" t="str">
        <f t="array" ref="C59">IF($A59="","",INDEX('T4.2026'!C:C,INDEX($I$7:$I$80,MATCH(SMALL($J$7:$J$80,ROWS($A$7:A59)),$J$7:$J$80,0))))</f>
        <v/>
      </c>
      <c r="D59" s="38" t="str">
        <f t="array" ref="D59">IF($A59="","",ROUND(INDEX('T4.2026'!D:D,INDEX($I$7:$I$80,MATCH(SMALL($J$7:$J$80,ROWS($A$7:A59)),$J$7:$J$80,0))),0))</f>
        <v/>
      </c>
      <c r="E59" s="38" t="str">
        <f t="array" ref="E59">IF($A59="","",INDEX('T4.2026'!E:E,INDEX($I$7:$I$80,MATCH(SMALL($J$7:$J$80,ROWS($A$7:A59)),$J$7:$J$80,0))))</f>
        <v/>
      </c>
      <c r="F59" s="38" t="str">
        <f t="array" ref="F59">IF($A59="","",IF(ROWS($A$7:A59)=COUNTIF('T4.2026'!$A$2:$A$75,"?*"),MIN(E59,MAX(0,ROUND(($B$3-SUM($G$6:G58))/D59,0))),MIN(E59,MAX(0,ROUNDDOWN(($B$3*(E59*(0.5+MOD(ABS(SIN($B$3*0.001+ROW()*12.9898))*43758.5453,1)))/SUMPRODUCT($E$7:$E$80,0.5+MOD(ABS(SIN($B$3*0.001+ROW($E$7:$E$80)*12.9898))*43758.5453,1)))/D59,0)))))</f>
        <v/>
      </c>
      <c r="G59" s="38" t="str">
        <f t="shared" si="0"/>
        <v/>
      </c>
      <c r="H59" s="38" t="str">
        <f t="shared" si="1"/>
        <v/>
      </c>
      <c r="I59" s="33" t="str">
        <f>IF(ROWS($I$7:I59)&lt;=COUNTIF('T4.2026'!$A$2:$A$75,"?*"),ROWS($I$7:I59)+1,"")</f>
        <v/>
      </c>
      <c r="J59" s="33">
        <f t="shared" si="2"/>
        <v>9.9999999999999997E+98</v>
      </c>
    </row>
    <row r="60" spans="1:10" ht="15.75" customHeight="1" x14ac:dyDescent="0.25">
      <c r="A60" s="33" t="str">
        <f t="array" ref="A60">IF(ROWS($A$7:A60)&gt;COUNTIF('T4.2026'!$A$2:$A$75,"?*"),"",INDEX('T4.2026'!A:A,INDEX($I$7:$I$80,MATCH(SMALL($J$7:$J$80,ROWS($A$7:A60)),$J$7:$J$80,0))))</f>
        <v/>
      </c>
      <c r="B60" s="37" t="str">
        <f t="array" ref="B60">IF($A60="","",INDEX('T4.2026'!B:B,INDEX($I$7:$I$80,MATCH(SMALL($J$7:$J$80,ROWS($A$7:A60)),$J$7:$J$80,0))))</f>
        <v/>
      </c>
      <c r="C60" s="33" t="str">
        <f t="array" ref="C60">IF($A60="","",INDEX('T4.2026'!C:C,INDEX($I$7:$I$80,MATCH(SMALL($J$7:$J$80,ROWS($A$7:A60)),$J$7:$J$80,0))))</f>
        <v/>
      </c>
      <c r="D60" s="38" t="str">
        <f t="array" ref="D60">IF($A60="","",ROUND(INDEX('T4.2026'!D:D,INDEX($I$7:$I$80,MATCH(SMALL($J$7:$J$80,ROWS($A$7:A60)),$J$7:$J$80,0))),0))</f>
        <v/>
      </c>
      <c r="E60" s="38" t="str">
        <f t="array" ref="E60">IF($A60="","",INDEX('T4.2026'!E:E,INDEX($I$7:$I$80,MATCH(SMALL($J$7:$J$80,ROWS($A$7:A60)),$J$7:$J$80,0))))</f>
        <v/>
      </c>
      <c r="F60" s="38" t="str">
        <f t="array" ref="F60">IF($A60="","",IF(ROWS($A$7:A60)=COUNTIF('T4.2026'!$A$2:$A$75,"?*"),MIN(E60,MAX(0,ROUND(($B$3-SUM($G$6:G59))/D60,0))),MIN(E60,MAX(0,ROUNDDOWN(($B$3*(E60*(0.5+MOD(ABS(SIN($B$3*0.001+ROW()*12.9898))*43758.5453,1)))/SUMPRODUCT($E$7:$E$80,0.5+MOD(ABS(SIN($B$3*0.001+ROW($E$7:$E$80)*12.9898))*43758.5453,1)))/D60,0)))))</f>
        <v/>
      </c>
      <c r="G60" s="38" t="str">
        <f t="shared" si="0"/>
        <v/>
      </c>
      <c r="H60" s="38" t="str">
        <f t="shared" si="1"/>
        <v/>
      </c>
      <c r="I60" s="33" t="str">
        <f>IF(ROWS($I$7:I60)&lt;=COUNTIF('T4.2026'!$A$2:$A$75,"?*"),ROWS($I$7:I60)+1,"")</f>
        <v/>
      </c>
      <c r="J60" s="33">
        <f t="shared" si="2"/>
        <v>9.9999999999999997E+98</v>
      </c>
    </row>
    <row r="61" spans="1:10" ht="15.75" customHeight="1" x14ac:dyDescent="0.25">
      <c r="A61" s="33" t="str">
        <f t="array" ref="A61">IF(ROWS($A$7:A61)&gt;COUNTIF('T4.2026'!$A$2:$A$75,"?*"),"",INDEX('T4.2026'!A:A,INDEX($I$7:$I$80,MATCH(SMALL($J$7:$J$80,ROWS($A$7:A61)),$J$7:$J$80,0))))</f>
        <v/>
      </c>
      <c r="B61" s="37" t="str">
        <f t="array" ref="B61">IF($A61="","",INDEX('T4.2026'!B:B,INDEX($I$7:$I$80,MATCH(SMALL($J$7:$J$80,ROWS($A$7:A61)),$J$7:$J$80,0))))</f>
        <v/>
      </c>
      <c r="C61" s="33" t="str">
        <f t="array" ref="C61">IF($A61="","",INDEX('T4.2026'!C:C,INDEX($I$7:$I$80,MATCH(SMALL($J$7:$J$80,ROWS($A$7:A61)),$J$7:$J$80,0))))</f>
        <v/>
      </c>
      <c r="D61" s="38" t="str">
        <f t="array" ref="D61">IF($A61="","",ROUND(INDEX('T4.2026'!D:D,INDEX($I$7:$I$80,MATCH(SMALL($J$7:$J$80,ROWS($A$7:A61)),$J$7:$J$80,0))),0))</f>
        <v/>
      </c>
      <c r="E61" s="38" t="str">
        <f t="array" ref="E61">IF($A61="","",INDEX('T4.2026'!E:E,INDEX($I$7:$I$80,MATCH(SMALL($J$7:$J$80,ROWS($A$7:A61)),$J$7:$J$80,0))))</f>
        <v/>
      </c>
      <c r="F61" s="38" t="str">
        <f t="array" ref="F61">IF($A61="","",IF(ROWS($A$7:A61)=COUNTIF('T4.2026'!$A$2:$A$75,"?*"),MIN(E61,MAX(0,ROUND(($B$3-SUM($G$6:G60))/D61,0))),MIN(E61,MAX(0,ROUNDDOWN(($B$3*(E61*(0.5+MOD(ABS(SIN($B$3*0.001+ROW()*12.9898))*43758.5453,1)))/SUMPRODUCT($E$7:$E$80,0.5+MOD(ABS(SIN($B$3*0.001+ROW($E$7:$E$80)*12.9898))*43758.5453,1)))/D61,0)))))</f>
        <v/>
      </c>
      <c r="G61" s="38" t="str">
        <f t="shared" si="0"/>
        <v/>
      </c>
      <c r="H61" s="38" t="str">
        <f t="shared" si="1"/>
        <v/>
      </c>
      <c r="I61" s="33" t="str">
        <f>IF(ROWS($I$7:I61)&lt;=COUNTIF('T4.2026'!$A$2:$A$75,"?*"),ROWS($I$7:I61)+1,"")</f>
        <v/>
      </c>
      <c r="J61" s="33">
        <f t="shared" si="2"/>
        <v>9.9999999999999997E+98</v>
      </c>
    </row>
    <row r="62" spans="1:10" ht="15.75" customHeight="1" x14ac:dyDescent="0.25">
      <c r="A62" s="33" t="str">
        <f t="array" ref="A62">IF(ROWS($A$7:A62)&gt;COUNTIF('T4.2026'!$A$2:$A$75,"?*"),"",INDEX('T4.2026'!A:A,INDEX($I$7:$I$80,MATCH(SMALL($J$7:$J$80,ROWS($A$7:A62)),$J$7:$J$80,0))))</f>
        <v/>
      </c>
      <c r="B62" s="37" t="str">
        <f t="array" ref="B62">IF($A62="","",INDEX('T4.2026'!B:B,INDEX($I$7:$I$80,MATCH(SMALL($J$7:$J$80,ROWS($A$7:A62)),$J$7:$J$80,0))))</f>
        <v/>
      </c>
      <c r="C62" s="33" t="str">
        <f t="array" ref="C62">IF($A62="","",INDEX('T4.2026'!C:C,INDEX($I$7:$I$80,MATCH(SMALL($J$7:$J$80,ROWS($A$7:A62)),$J$7:$J$80,0))))</f>
        <v/>
      </c>
      <c r="D62" s="38" t="str">
        <f t="array" ref="D62">IF($A62="","",ROUND(INDEX('T4.2026'!D:D,INDEX($I$7:$I$80,MATCH(SMALL($J$7:$J$80,ROWS($A$7:A62)),$J$7:$J$80,0))),0))</f>
        <v/>
      </c>
      <c r="E62" s="38" t="str">
        <f t="array" ref="E62">IF($A62="","",INDEX('T4.2026'!E:E,INDEX($I$7:$I$80,MATCH(SMALL($J$7:$J$80,ROWS($A$7:A62)),$J$7:$J$80,0))))</f>
        <v/>
      </c>
      <c r="F62" s="38" t="str">
        <f t="array" ref="F62">IF($A62="","",IF(ROWS($A$7:A62)=COUNTIF('T4.2026'!$A$2:$A$75,"?*"),MIN(E62,MAX(0,ROUND(($B$3-SUM($G$6:G61))/D62,0))),MIN(E62,MAX(0,ROUNDDOWN(($B$3*(E62*(0.5+MOD(ABS(SIN($B$3*0.001+ROW()*12.9898))*43758.5453,1)))/SUMPRODUCT($E$7:$E$80,0.5+MOD(ABS(SIN($B$3*0.001+ROW($E$7:$E$80)*12.9898))*43758.5453,1)))/D62,0)))))</f>
        <v/>
      </c>
      <c r="G62" s="38" t="str">
        <f t="shared" si="0"/>
        <v/>
      </c>
      <c r="H62" s="38" t="str">
        <f t="shared" si="1"/>
        <v/>
      </c>
      <c r="I62" s="33" t="str">
        <f>IF(ROWS($I$7:I62)&lt;=COUNTIF('T4.2026'!$A$2:$A$75,"?*"),ROWS($I$7:I62)+1,"")</f>
        <v/>
      </c>
      <c r="J62" s="33">
        <f t="shared" si="2"/>
        <v>9.9999999999999997E+98</v>
      </c>
    </row>
    <row r="63" spans="1:10" ht="15.75" customHeight="1" x14ac:dyDescent="0.25">
      <c r="A63" s="33" t="str">
        <f t="array" ref="A63">IF(ROWS($A$7:A63)&gt;COUNTIF('T4.2026'!$A$2:$A$75,"?*"),"",INDEX('T4.2026'!A:A,INDEX($I$7:$I$80,MATCH(SMALL($J$7:$J$80,ROWS($A$7:A63)),$J$7:$J$80,0))))</f>
        <v/>
      </c>
      <c r="B63" s="37" t="str">
        <f t="array" ref="B63">IF($A63="","",INDEX('T4.2026'!B:B,INDEX($I$7:$I$80,MATCH(SMALL($J$7:$J$80,ROWS($A$7:A63)),$J$7:$J$80,0))))</f>
        <v/>
      </c>
      <c r="C63" s="33" t="str">
        <f t="array" ref="C63">IF($A63="","",INDEX('T4.2026'!C:C,INDEX($I$7:$I$80,MATCH(SMALL($J$7:$J$80,ROWS($A$7:A63)),$J$7:$J$80,0))))</f>
        <v/>
      </c>
      <c r="D63" s="38" t="str">
        <f t="array" ref="D63">IF($A63="","",ROUND(INDEX('T4.2026'!D:D,INDEX($I$7:$I$80,MATCH(SMALL($J$7:$J$80,ROWS($A$7:A63)),$J$7:$J$80,0))),0))</f>
        <v/>
      </c>
      <c r="E63" s="38" t="str">
        <f t="array" ref="E63">IF($A63="","",INDEX('T4.2026'!E:E,INDEX($I$7:$I$80,MATCH(SMALL($J$7:$J$80,ROWS($A$7:A63)),$J$7:$J$80,0))))</f>
        <v/>
      </c>
      <c r="F63" s="38" t="str">
        <f t="array" ref="F63">IF($A63="","",IF(ROWS($A$7:A63)=COUNTIF('T4.2026'!$A$2:$A$75,"?*"),MIN(E63,MAX(0,ROUND(($B$3-SUM($G$6:G62))/D63,0))),MIN(E63,MAX(0,ROUNDDOWN(($B$3*(E63*(0.5+MOD(ABS(SIN($B$3*0.001+ROW()*12.9898))*43758.5453,1)))/SUMPRODUCT($E$7:$E$80,0.5+MOD(ABS(SIN($B$3*0.001+ROW($E$7:$E$80)*12.9898))*43758.5453,1)))/D63,0)))))</f>
        <v/>
      </c>
      <c r="G63" s="38" t="str">
        <f t="shared" si="0"/>
        <v/>
      </c>
      <c r="H63" s="38" t="str">
        <f t="shared" si="1"/>
        <v/>
      </c>
      <c r="I63" s="33" t="str">
        <f>IF(ROWS($I$7:I63)&lt;=COUNTIF('T4.2026'!$A$2:$A$75,"?*"),ROWS($I$7:I63)+1,"")</f>
        <v/>
      </c>
      <c r="J63" s="33">
        <f t="shared" si="2"/>
        <v>9.9999999999999997E+98</v>
      </c>
    </row>
    <row r="64" spans="1:10" ht="15.75" customHeight="1" x14ac:dyDescent="0.25">
      <c r="A64" s="33" t="str">
        <f t="array" ref="A64">IF(ROWS($A$7:A64)&gt;COUNTIF('T4.2026'!$A$2:$A$75,"?*"),"",INDEX('T4.2026'!A:A,INDEX($I$7:$I$80,MATCH(SMALL($J$7:$J$80,ROWS($A$7:A64)),$J$7:$J$80,0))))</f>
        <v/>
      </c>
      <c r="B64" s="37" t="str">
        <f t="array" ref="B64">IF($A64="","",INDEX('T4.2026'!B:B,INDEX($I$7:$I$80,MATCH(SMALL($J$7:$J$80,ROWS($A$7:A64)),$J$7:$J$80,0))))</f>
        <v/>
      </c>
      <c r="C64" s="33" t="str">
        <f t="array" ref="C64">IF($A64="","",INDEX('T4.2026'!C:C,INDEX($I$7:$I$80,MATCH(SMALL($J$7:$J$80,ROWS($A$7:A64)),$J$7:$J$80,0))))</f>
        <v/>
      </c>
      <c r="D64" s="38" t="str">
        <f t="array" ref="D64">IF($A64="","",ROUND(INDEX('T4.2026'!D:D,INDEX($I$7:$I$80,MATCH(SMALL($J$7:$J$80,ROWS($A$7:A64)),$J$7:$J$80,0))),0))</f>
        <v/>
      </c>
      <c r="E64" s="38" t="str">
        <f t="array" ref="E64">IF($A64="","",INDEX('T4.2026'!E:E,INDEX($I$7:$I$80,MATCH(SMALL($J$7:$J$80,ROWS($A$7:A64)),$J$7:$J$80,0))))</f>
        <v/>
      </c>
      <c r="F64" s="38" t="str">
        <f t="array" ref="F64">IF($A64="","",IF(ROWS($A$7:A64)=COUNTIF('T4.2026'!$A$2:$A$75,"?*"),MIN(E64,MAX(0,ROUND(($B$3-SUM($G$6:G63))/D64,0))),MIN(E64,MAX(0,ROUNDDOWN(($B$3*(E64*(0.5+MOD(ABS(SIN($B$3*0.001+ROW()*12.9898))*43758.5453,1)))/SUMPRODUCT($E$7:$E$80,0.5+MOD(ABS(SIN($B$3*0.001+ROW($E$7:$E$80)*12.9898))*43758.5453,1)))/D64,0)))))</f>
        <v/>
      </c>
      <c r="G64" s="38" t="str">
        <f t="shared" si="0"/>
        <v/>
      </c>
      <c r="H64" s="38" t="str">
        <f t="shared" si="1"/>
        <v/>
      </c>
      <c r="I64" s="33" t="str">
        <f>IF(ROWS($I$7:I64)&lt;=COUNTIF('T4.2026'!$A$2:$A$75,"?*"),ROWS($I$7:I64)+1,"")</f>
        <v/>
      </c>
      <c r="J64" s="33">
        <f t="shared" si="2"/>
        <v>9.9999999999999997E+98</v>
      </c>
    </row>
    <row r="65" spans="1:10" ht="15.75" customHeight="1" x14ac:dyDescent="0.25">
      <c r="A65" s="33" t="str">
        <f t="array" ref="A65">IF(ROWS($A$7:A65)&gt;COUNTIF('T4.2026'!$A$2:$A$75,"?*"),"",INDEX('T4.2026'!A:A,INDEX($I$7:$I$80,MATCH(SMALL($J$7:$J$80,ROWS($A$7:A65)),$J$7:$J$80,0))))</f>
        <v/>
      </c>
      <c r="B65" s="37" t="str">
        <f t="array" ref="B65">IF($A65="","",INDEX('T4.2026'!B:B,INDEX($I$7:$I$80,MATCH(SMALL($J$7:$J$80,ROWS($A$7:A65)),$J$7:$J$80,0))))</f>
        <v/>
      </c>
      <c r="C65" s="33" t="str">
        <f t="array" ref="C65">IF($A65="","",INDEX('T4.2026'!C:C,INDEX($I$7:$I$80,MATCH(SMALL($J$7:$J$80,ROWS($A$7:A65)),$J$7:$J$80,0))))</f>
        <v/>
      </c>
      <c r="D65" s="38" t="str">
        <f t="array" ref="D65">IF($A65="","",ROUND(INDEX('T4.2026'!D:D,INDEX($I$7:$I$80,MATCH(SMALL($J$7:$J$80,ROWS($A$7:A65)),$J$7:$J$80,0))),0))</f>
        <v/>
      </c>
      <c r="E65" s="38" t="str">
        <f t="array" ref="E65">IF($A65="","",INDEX('T4.2026'!E:E,INDEX($I$7:$I$80,MATCH(SMALL($J$7:$J$80,ROWS($A$7:A65)),$J$7:$J$80,0))))</f>
        <v/>
      </c>
      <c r="F65" s="38" t="str">
        <f t="array" ref="F65">IF($A65="","",IF(ROWS($A$7:A65)=COUNTIF('T4.2026'!$A$2:$A$75,"?*"),MIN(E65,MAX(0,ROUND(($B$3-SUM($G$6:G64))/D65,0))),MIN(E65,MAX(0,ROUNDDOWN(($B$3*(E65*(0.5+MOD(ABS(SIN($B$3*0.001+ROW()*12.9898))*43758.5453,1)))/SUMPRODUCT($E$7:$E$80,0.5+MOD(ABS(SIN($B$3*0.001+ROW($E$7:$E$80)*12.9898))*43758.5453,1)))/D65,0)))))</f>
        <v/>
      </c>
      <c r="G65" s="38" t="str">
        <f t="shared" si="0"/>
        <v/>
      </c>
      <c r="H65" s="38" t="str">
        <f t="shared" si="1"/>
        <v/>
      </c>
      <c r="I65" s="33" t="str">
        <f>IF(ROWS($I$7:I65)&lt;=COUNTIF('T4.2026'!$A$2:$A$75,"?*"),ROWS($I$7:I65)+1,"")</f>
        <v/>
      </c>
      <c r="J65" s="33">
        <f t="shared" si="2"/>
        <v>9.9999999999999997E+98</v>
      </c>
    </row>
    <row r="66" spans="1:10" ht="15.75" customHeight="1" x14ac:dyDescent="0.25">
      <c r="A66" s="33" t="str">
        <f t="array" ref="A66">IF(ROWS($A$7:A66)&gt;COUNTIF('T4.2026'!$A$2:$A$75,"?*"),"",INDEX('T4.2026'!A:A,INDEX($I$7:$I$80,MATCH(SMALL($J$7:$J$80,ROWS($A$7:A66)),$J$7:$J$80,0))))</f>
        <v/>
      </c>
      <c r="B66" s="37" t="str">
        <f t="array" ref="B66">IF($A66="","",INDEX('T4.2026'!B:B,INDEX($I$7:$I$80,MATCH(SMALL($J$7:$J$80,ROWS($A$7:A66)),$J$7:$J$80,0))))</f>
        <v/>
      </c>
      <c r="C66" s="33" t="str">
        <f t="array" ref="C66">IF($A66="","",INDEX('T4.2026'!C:C,INDEX($I$7:$I$80,MATCH(SMALL($J$7:$J$80,ROWS($A$7:A66)),$J$7:$J$80,0))))</f>
        <v/>
      </c>
      <c r="D66" s="38" t="str">
        <f t="array" ref="D66">IF($A66="","",ROUND(INDEX('T4.2026'!D:D,INDEX($I$7:$I$80,MATCH(SMALL($J$7:$J$80,ROWS($A$7:A66)),$J$7:$J$80,0))),0))</f>
        <v/>
      </c>
      <c r="E66" s="38" t="str">
        <f t="array" ref="E66">IF($A66="","",INDEX('T4.2026'!E:E,INDEX($I$7:$I$80,MATCH(SMALL($J$7:$J$80,ROWS($A$7:A66)),$J$7:$J$80,0))))</f>
        <v/>
      </c>
      <c r="F66" s="38" t="str">
        <f t="array" ref="F66">IF($A66="","",IF(ROWS($A$7:A66)=COUNTIF('T4.2026'!$A$2:$A$75,"?*"),MIN(E66,MAX(0,ROUND(($B$3-SUM($G$6:G65))/D66,0))),MIN(E66,MAX(0,ROUNDDOWN(($B$3*(E66*(0.5+MOD(ABS(SIN($B$3*0.001+ROW()*12.9898))*43758.5453,1)))/SUMPRODUCT($E$7:$E$80,0.5+MOD(ABS(SIN($B$3*0.001+ROW($E$7:$E$80)*12.9898))*43758.5453,1)))/D66,0)))))</f>
        <v/>
      </c>
      <c r="G66" s="38" t="str">
        <f t="shared" si="0"/>
        <v/>
      </c>
      <c r="H66" s="38" t="str">
        <f t="shared" si="1"/>
        <v/>
      </c>
      <c r="I66" s="33" t="str">
        <f>IF(ROWS($I$7:I66)&lt;=COUNTIF('T4.2026'!$A$2:$A$75,"?*"),ROWS($I$7:I66)+1,"")</f>
        <v/>
      </c>
      <c r="J66" s="33">
        <f t="shared" si="2"/>
        <v>9.9999999999999997E+98</v>
      </c>
    </row>
    <row r="67" spans="1:10" ht="15.75" customHeight="1" x14ac:dyDescent="0.25">
      <c r="A67" s="33" t="str">
        <f t="array" ref="A67">IF(ROWS($A$7:A67)&gt;COUNTIF('T4.2026'!$A$2:$A$75,"?*"),"",INDEX('T4.2026'!A:A,INDEX($I$7:$I$80,MATCH(SMALL($J$7:$J$80,ROWS($A$7:A67)),$J$7:$J$80,0))))</f>
        <v/>
      </c>
      <c r="B67" s="37" t="str">
        <f t="array" ref="B67">IF($A67="","",INDEX('T4.2026'!B:B,INDEX($I$7:$I$80,MATCH(SMALL($J$7:$J$80,ROWS($A$7:A67)),$J$7:$J$80,0))))</f>
        <v/>
      </c>
      <c r="C67" s="33" t="str">
        <f t="array" ref="C67">IF($A67="","",INDEX('T4.2026'!C:C,INDEX($I$7:$I$80,MATCH(SMALL($J$7:$J$80,ROWS($A$7:A67)),$J$7:$J$80,0))))</f>
        <v/>
      </c>
      <c r="D67" s="38" t="str">
        <f t="array" ref="D67">IF($A67="","",ROUND(INDEX('T4.2026'!D:D,INDEX($I$7:$I$80,MATCH(SMALL($J$7:$J$80,ROWS($A$7:A67)),$J$7:$J$80,0))),0))</f>
        <v/>
      </c>
      <c r="E67" s="38" t="str">
        <f t="array" ref="E67">IF($A67="","",INDEX('T4.2026'!E:E,INDEX($I$7:$I$80,MATCH(SMALL($J$7:$J$80,ROWS($A$7:A67)),$J$7:$J$80,0))))</f>
        <v/>
      </c>
      <c r="F67" s="38" t="str">
        <f t="array" ref="F67">IF($A67="","",IF(ROWS($A$7:A67)=COUNTIF('T4.2026'!$A$2:$A$75,"?*"),MIN(E67,MAX(0,ROUND(($B$3-SUM($G$6:G66))/D67,0))),MIN(E67,MAX(0,ROUNDDOWN(($B$3*(E67*(0.5+MOD(ABS(SIN($B$3*0.001+ROW()*12.9898))*43758.5453,1)))/SUMPRODUCT($E$7:$E$80,0.5+MOD(ABS(SIN($B$3*0.001+ROW($E$7:$E$80)*12.9898))*43758.5453,1)))/D67,0)))))</f>
        <v/>
      </c>
      <c r="G67" s="38" t="str">
        <f t="shared" si="0"/>
        <v/>
      </c>
      <c r="H67" s="38" t="str">
        <f t="shared" si="1"/>
        <v/>
      </c>
      <c r="I67" s="33" t="str">
        <f>IF(ROWS($I$7:I67)&lt;=COUNTIF('T4.2026'!$A$2:$A$75,"?*"),ROWS($I$7:I67)+1,"")</f>
        <v/>
      </c>
      <c r="J67" s="33">
        <f t="shared" si="2"/>
        <v>9.9999999999999997E+98</v>
      </c>
    </row>
    <row r="68" spans="1:10" ht="15.75" customHeight="1" x14ac:dyDescent="0.25">
      <c r="A68" s="33" t="str">
        <f t="array" ref="A68">IF(ROWS($A$7:A68)&gt;COUNTIF('T4.2026'!$A$2:$A$75,"?*"),"",INDEX('T4.2026'!A:A,INDEX($I$7:$I$80,MATCH(SMALL($J$7:$J$80,ROWS($A$7:A68)),$J$7:$J$80,0))))</f>
        <v/>
      </c>
      <c r="B68" s="37" t="str">
        <f t="array" ref="B68">IF($A68="","",INDEX('T4.2026'!B:B,INDEX($I$7:$I$80,MATCH(SMALL($J$7:$J$80,ROWS($A$7:A68)),$J$7:$J$80,0))))</f>
        <v/>
      </c>
      <c r="C68" s="33" t="str">
        <f t="array" ref="C68">IF($A68="","",INDEX('T4.2026'!C:C,INDEX($I$7:$I$80,MATCH(SMALL($J$7:$J$80,ROWS($A$7:A68)),$J$7:$J$80,0))))</f>
        <v/>
      </c>
      <c r="D68" s="38" t="str">
        <f t="array" ref="D68">IF($A68="","",ROUND(INDEX('T4.2026'!D:D,INDEX($I$7:$I$80,MATCH(SMALL($J$7:$J$80,ROWS($A$7:A68)),$J$7:$J$80,0))),0))</f>
        <v/>
      </c>
      <c r="E68" s="38" t="str">
        <f t="array" ref="E68">IF($A68="","",INDEX('T4.2026'!E:E,INDEX($I$7:$I$80,MATCH(SMALL($J$7:$J$80,ROWS($A$7:A68)),$J$7:$J$80,0))))</f>
        <v/>
      </c>
      <c r="F68" s="38" t="str">
        <f t="array" ref="F68">IF($A68="","",IF(ROWS($A$7:A68)=COUNTIF('T4.2026'!$A$2:$A$75,"?*"),MIN(E68,MAX(0,ROUND(($B$3-SUM($G$6:G67))/D68,0))),MIN(E68,MAX(0,ROUNDDOWN(($B$3*(E68*(0.5+MOD(ABS(SIN($B$3*0.001+ROW()*12.9898))*43758.5453,1)))/SUMPRODUCT($E$7:$E$80,0.5+MOD(ABS(SIN($B$3*0.001+ROW($E$7:$E$80)*12.9898))*43758.5453,1)))/D68,0)))))</f>
        <v/>
      </c>
      <c r="G68" s="38" t="str">
        <f t="shared" si="0"/>
        <v/>
      </c>
      <c r="H68" s="38" t="str">
        <f t="shared" si="1"/>
        <v/>
      </c>
      <c r="I68" s="33" t="str">
        <f>IF(ROWS($I$7:I68)&lt;=COUNTIF('T4.2026'!$A$2:$A$75,"?*"),ROWS($I$7:I68)+1,"")</f>
        <v/>
      </c>
      <c r="J68" s="33">
        <f t="shared" si="2"/>
        <v>9.9999999999999997E+98</v>
      </c>
    </row>
    <row r="69" spans="1:10" ht="15.75" customHeight="1" x14ac:dyDescent="0.25">
      <c r="A69" s="33" t="str">
        <f t="array" ref="A69">IF(ROWS($A$7:A69)&gt;COUNTIF('T4.2026'!$A$2:$A$75,"?*"),"",INDEX('T4.2026'!A:A,INDEX($I$7:$I$80,MATCH(SMALL($J$7:$J$80,ROWS($A$7:A69)),$J$7:$J$80,0))))</f>
        <v/>
      </c>
      <c r="B69" s="37" t="str">
        <f t="array" ref="B69">IF($A69="","",INDEX('T4.2026'!B:B,INDEX($I$7:$I$80,MATCH(SMALL($J$7:$J$80,ROWS($A$7:A69)),$J$7:$J$80,0))))</f>
        <v/>
      </c>
      <c r="C69" s="33" t="str">
        <f t="array" ref="C69">IF($A69="","",INDEX('T4.2026'!C:C,INDEX($I$7:$I$80,MATCH(SMALL($J$7:$J$80,ROWS($A$7:A69)),$J$7:$J$80,0))))</f>
        <v/>
      </c>
      <c r="D69" s="38" t="str">
        <f t="array" ref="D69">IF($A69="","",ROUND(INDEX('T4.2026'!D:D,INDEX($I$7:$I$80,MATCH(SMALL($J$7:$J$80,ROWS($A$7:A69)),$J$7:$J$80,0))),0))</f>
        <v/>
      </c>
      <c r="E69" s="38" t="str">
        <f t="array" ref="E69">IF($A69="","",INDEX('T4.2026'!E:E,INDEX($I$7:$I$80,MATCH(SMALL($J$7:$J$80,ROWS($A$7:A69)),$J$7:$J$80,0))))</f>
        <v/>
      </c>
      <c r="F69" s="38" t="str">
        <f t="array" ref="F69">IF($A69="","",IF(ROWS($A$7:A69)=COUNTIF('T4.2026'!$A$2:$A$75,"?*"),MIN(E69,MAX(0,ROUND(($B$3-SUM($G$6:G68))/D69,0))),MIN(E69,MAX(0,ROUNDDOWN(($B$3*(E69*(0.5+MOD(ABS(SIN($B$3*0.001+ROW()*12.9898))*43758.5453,1)))/SUMPRODUCT($E$7:$E$80,0.5+MOD(ABS(SIN($B$3*0.001+ROW($E$7:$E$80)*12.9898))*43758.5453,1)))/D69,0)))))</f>
        <v/>
      </c>
      <c r="G69" s="38" t="str">
        <f t="shared" si="0"/>
        <v/>
      </c>
      <c r="H69" s="38" t="str">
        <f t="shared" si="1"/>
        <v/>
      </c>
      <c r="I69" s="33" t="str">
        <f>IF(ROWS($I$7:I69)&lt;=COUNTIF('T4.2026'!$A$2:$A$75,"?*"),ROWS($I$7:I69)+1,"")</f>
        <v/>
      </c>
      <c r="J69" s="33">
        <f t="shared" si="2"/>
        <v>9.9999999999999997E+98</v>
      </c>
    </row>
    <row r="70" spans="1:10" ht="15.75" customHeight="1" x14ac:dyDescent="0.25">
      <c r="A70" s="33" t="str">
        <f t="array" ref="A70">IF(ROWS($A$7:A70)&gt;COUNTIF('T4.2026'!$A$2:$A$75,"?*"),"",INDEX('T4.2026'!A:A,INDEX($I$7:$I$80,MATCH(SMALL($J$7:$J$80,ROWS($A$7:A70)),$J$7:$J$80,0))))</f>
        <v/>
      </c>
      <c r="B70" s="37" t="str">
        <f t="array" ref="B70">IF($A70="","",INDEX('T4.2026'!B:B,INDEX($I$7:$I$80,MATCH(SMALL($J$7:$J$80,ROWS($A$7:A70)),$J$7:$J$80,0))))</f>
        <v/>
      </c>
      <c r="C70" s="33" t="str">
        <f t="array" ref="C70">IF($A70="","",INDEX('T4.2026'!C:C,INDEX($I$7:$I$80,MATCH(SMALL($J$7:$J$80,ROWS($A$7:A70)),$J$7:$J$80,0))))</f>
        <v/>
      </c>
      <c r="D70" s="38" t="str">
        <f t="array" ref="D70">IF($A70="","",ROUND(INDEX('T4.2026'!D:D,INDEX($I$7:$I$80,MATCH(SMALL($J$7:$J$80,ROWS($A$7:A70)),$J$7:$J$80,0))),0))</f>
        <v/>
      </c>
      <c r="E70" s="38" t="str">
        <f t="array" ref="E70">IF($A70="","",INDEX('T4.2026'!E:E,INDEX($I$7:$I$80,MATCH(SMALL($J$7:$J$80,ROWS($A$7:A70)),$J$7:$J$80,0))))</f>
        <v/>
      </c>
      <c r="F70" s="38" t="str">
        <f t="array" ref="F70">IF($A70="","",IF(ROWS($A$7:A70)=COUNTIF('T4.2026'!$A$2:$A$75,"?*"),MIN(E70,MAX(0,ROUND(($B$3-SUM($G$6:G69))/D70,0))),MIN(E70,MAX(0,ROUNDDOWN(($B$3*(E70*(0.5+MOD(ABS(SIN($B$3*0.001+ROW()*12.9898))*43758.5453,1)))/SUMPRODUCT($E$7:$E$80,0.5+MOD(ABS(SIN($B$3*0.001+ROW($E$7:$E$80)*12.9898))*43758.5453,1)))/D70,0)))))</f>
        <v/>
      </c>
      <c r="G70" s="38" t="str">
        <f t="shared" si="0"/>
        <v/>
      </c>
      <c r="H70" s="38" t="str">
        <f t="shared" si="1"/>
        <v/>
      </c>
      <c r="I70" s="33" t="str">
        <f>IF(ROWS($I$7:I70)&lt;=COUNTIF('T4.2026'!$A$2:$A$75,"?*"),ROWS($I$7:I70)+1,"")</f>
        <v/>
      </c>
      <c r="J70" s="33">
        <f t="shared" si="2"/>
        <v>9.9999999999999997E+98</v>
      </c>
    </row>
    <row r="71" spans="1:10" ht="15.75" customHeight="1" x14ac:dyDescent="0.25">
      <c r="A71" s="33" t="str">
        <f t="array" ref="A71">IF(ROWS($A$7:A71)&gt;COUNTIF('T4.2026'!$A$2:$A$75,"?*"),"",INDEX('T4.2026'!A:A,INDEX($I$7:$I$80,MATCH(SMALL($J$7:$J$80,ROWS($A$7:A71)),$J$7:$J$80,0))))</f>
        <v/>
      </c>
      <c r="B71" s="37" t="str">
        <f t="array" ref="B71">IF($A71="","",INDEX('T4.2026'!B:B,INDEX($I$7:$I$80,MATCH(SMALL($J$7:$J$80,ROWS($A$7:A71)),$J$7:$J$80,0))))</f>
        <v/>
      </c>
      <c r="C71" s="33" t="str">
        <f t="array" ref="C71">IF($A71="","",INDEX('T4.2026'!C:C,INDEX($I$7:$I$80,MATCH(SMALL($J$7:$J$80,ROWS($A$7:A71)),$J$7:$J$80,0))))</f>
        <v/>
      </c>
      <c r="D71" s="38" t="str">
        <f t="array" ref="D71">IF($A71="","",ROUND(INDEX('T4.2026'!D:D,INDEX($I$7:$I$80,MATCH(SMALL($J$7:$J$80,ROWS($A$7:A71)),$J$7:$J$80,0))),0))</f>
        <v/>
      </c>
      <c r="E71" s="38" t="str">
        <f t="array" ref="E71">IF($A71="","",INDEX('T4.2026'!E:E,INDEX($I$7:$I$80,MATCH(SMALL($J$7:$J$80,ROWS($A$7:A71)),$J$7:$J$80,0))))</f>
        <v/>
      </c>
      <c r="F71" s="38" t="str">
        <f t="array" ref="F71">IF($A71="","",IF(ROWS($A$7:A71)=COUNTIF('T4.2026'!$A$2:$A$75,"?*"),MIN(E71,MAX(0,ROUND(($B$3-SUM($G$6:G70))/D71,0))),MIN(E71,MAX(0,ROUNDDOWN(($B$3*(E71*(0.5+MOD(ABS(SIN($B$3*0.001+ROW()*12.9898))*43758.5453,1)))/SUMPRODUCT($E$7:$E$80,0.5+MOD(ABS(SIN($B$3*0.001+ROW($E$7:$E$80)*12.9898))*43758.5453,1)))/D71,0)))))</f>
        <v/>
      </c>
      <c r="G71" s="38" t="str">
        <f t="shared" si="0"/>
        <v/>
      </c>
      <c r="H71" s="38" t="str">
        <f t="shared" si="1"/>
        <v/>
      </c>
      <c r="I71" s="33" t="str">
        <f>IF(ROWS($I$7:I71)&lt;=COUNTIF('T4.2026'!$A$2:$A$75,"?*"),ROWS($I$7:I71)+1,"")</f>
        <v/>
      </c>
      <c r="J71" s="33">
        <f t="shared" si="2"/>
        <v>9.9999999999999997E+98</v>
      </c>
    </row>
    <row r="72" spans="1:10" ht="15.75" customHeight="1" x14ac:dyDescent="0.25">
      <c r="A72" s="33" t="str">
        <f t="array" ref="A72">IF(ROWS($A$7:A72)&gt;COUNTIF('T4.2026'!$A$2:$A$75,"?*"),"",INDEX('T4.2026'!A:A,INDEX($I$7:$I$80,MATCH(SMALL($J$7:$J$80,ROWS($A$7:A72)),$J$7:$J$80,0))))</f>
        <v/>
      </c>
      <c r="B72" s="37" t="str">
        <f t="array" ref="B72">IF($A72="","",INDEX('T4.2026'!B:B,INDEX($I$7:$I$80,MATCH(SMALL($J$7:$J$80,ROWS($A$7:A72)),$J$7:$J$80,0))))</f>
        <v/>
      </c>
      <c r="C72" s="33" t="str">
        <f t="array" ref="C72">IF($A72="","",INDEX('T4.2026'!C:C,INDEX($I$7:$I$80,MATCH(SMALL($J$7:$J$80,ROWS($A$7:A72)),$J$7:$J$80,0))))</f>
        <v/>
      </c>
      <c r="D72" s="38" t="str">
        <f t="array" ref="D72">IF($A72="","",ROUND(INDEX('T4.2026'!D:D,INDEX($I$7:$I$80,MATCH(SMALL($J$7:$J$80,ROWS($A$7:A72)),$J$7:$J$80,0))),0))</f>
        <v/>
      </c>
      <c r="E72" s="38" t="str">
        <f t="array" ref="E72">IF($A72="","",INDEX('T4.2026'!E:E,INDEX($I$7:$I$80,MATCH(SMALL($J$7:$J$80,ROWS($A$7:A72)),$J$7:$J$80,0))))</f>
        <v/>
      </c>
      <c r="F72" s="38" t="str">
        <f t="array" ref="F72">IF($A72="","",IF(ROWS($A$7:A72)=COUNTIF('T4.2026'!$A$2:$A$75,"?*"),MIN(E72,MAX(0,ROUND(($B$3-SUM($G$6:G71))/D72,0))),MIN(E72,MAX(0,ROUNDDOWN(($B$3*(E72*(0.5+MOD(ABS(SIN($B$3*0.001+ROW()*12.9898))*43758.5453,1)))/SUMPRODUCT($E$7:$E$80,0.5+MOD(ABS(SIN($B$3*0.001+ROW($E$7:$E$80)*12.9898))*43758.5453,1)))/D72,0)))))</f>
        <v/>
      </c>
      <c r="G72" s="38" t="str">
        <f t="shared" si="0"/>
        <v/>
      </c>
      <c r="H72" s="38" t="str">
        <f t="shared" si="1"/>
        <v/>
      </c>
      <c r="I72" s="33" t="str">
        <f>IF(ROWS($I$7:I72)&lt;=COUNTIF('T4.2026'!$A$2:$A$75,"?*"),ROWS($I$7:I72)+1,"")</f>
        <v/>
      </c>
      <c r="J72" s="33">
        <f t="shared" si="2"/>
        <v>9.9999999999999997E+98</v>
      </c>
    </row>
    <row r="73" spans="1:10" ht="15.75" customHeight="1" x14ac:dyDescent="0.25">
      <c r="A73" s="33" t="str">
        <f t="array" ref="A73">IF(ROWS($A$7:A73)&gt;COUNTIF('T4.2026'!$A$2:$A$75,"?*"),"",INDEX('T4.2026'!A:A,INDEX($I$7:$I$80,MATCH(SMALL($J$7:$J$80,ROWS($A$7:A73)),$J$7:$J$80,0))))</f>
        <v/>
      </c>
      <c r="B73" s="37" t="str">
        <f t="array" ref="B73">IF($A73="","",INDEX('T4.2026'!B:B,INDEX($I$7:$I$80,MATCH(SMALL($J$7:$J$80,ROWS($A$7:A73)),$J$7:$J$80,0))))</f>
        <v/>
      </c>
      <c r="C73" s="33" t="str">
        <f t="array" ref="C73">IF($A73="","",INDEX('T4.2026'!C:C,INDEX($I$7:$I$80,MATCH(SMALL($J$7:$J$80,ROWS($A$7:A73)),$J$7:$J$80,0))))</f>
        <v/>
      </c>
      <c r="D73" s="38" t="str">
        <f t="array" ref="D73">IF($A73="","",ROUND(INDEX('T4.2026'!D:D,INDEX($I$7:$I$80,MATCH(SMALL($J$7:$J$80,ROWS($A$7:A73)),$J$7:$J$80,0))),0))</f>
        <v/>
      </c>
      <c r="E73" s="38" t="str">
        <f t="array" ref="E73">IF($A73="","",INDEX('T4.2026'!E:E,INDEX($I$7:$I$80,MATCH(SMALL($J$7:$J$80,ROWS($A$7:A73)),$J$7:$J$80,0))))</f>
        <v/>
      </c>
      <c r="F73" s="38" t="str">
        <f t="array" ref="F73">IF($A73="","",IF(ROWS($A$7:A73)=COUNTIF('T4.2026'!$A$2:$A$75,"?*"),MIN(E73,MAX(0,ROUND(($B$3-SUM($G$6:G72))/D73,0))),MIN(E73,MAX(0,ROUNDDOWN(($B$3*(E73*(0.5+MOD(ABS(SIN($B$3*0.001+ROW()*12.9898))*43758.5453,1)))/SUMPRODUCT($E$7:$E$80,0.5+MOD(ABS(SIN($B$3*0.001+ROW($E$7:$E$80)*12.9898))*43758.5453,1)))/D73,0)))))</f>
        <v/>
      </c>
      <c r="G73" s="38" t="str">
        <f t="shared" si="0"/>
        <v/>
      </c>
      <c r="H73" s="38" t="str">
        <f t="shared" si="1"/>
        <v/>
      </c>
      <c r="I73" s="33" t="str">
        <f>IF(ROWS($I$7:I73)&lt;=COUNTIF('T4.2026'!$A$2:$A$75,"?*"),ROWS($I$7:I73)+1,"")</f>
        <v/>
      </c>
      <c r="J73" s="33">
        <f t="shared" si="2"/>
        <v>9.9999999999999997E+98</v>
      </c>
    </row>
    <row r="74" spans="1:10" ht="15.75" customHeight="1" x14ac:dyDescent="0.25">
      <c r="A74" s="33" t="str">
        <f t="array" ref="A74">IF(ROWS($A$7:A74)&gt;COUNTIF('T4.2026'!$A$2:$A$75,"?*"),"",INDEX('T4.2026'!A:A,INDEX($I$7:$I$80,MATCH(SMALL($J$7:$J$80,ROWS($A$7:A74)),$J$7:$J$80,0))))</f>
        <v/>
      </c>
      <c r="B74" s="37" t="str">
        <f t="array" ref="B74">IF($A74="","",INDEX('T4.2026'!B:B,INDEX($I$7:$I$80,MATCH(SMALL($J$7:$J$80,ROWS($A$7:A74)),$J$7:$J$80,0))))</f>
        <v/>
      </c>
      <c r="C74" s="33" t="str">
        <f t="array" ref="C74">IF($A74="","",INDEX('T4.2026'!C:C,INDEX($I$7:$I$80,MATCH(SMALL($J$7:$J$80,ROWS($A$7:A74)),$J$7:$J$80,0))))</f>
        <v/>
      </c>
      <c r="D74" s="38" t="str">
        <f t="array" ref="D74">IF($A74="","",ROUND(INDEX('T4.2026'!D:D,INDEX($I$7:$I$80,MATCH(SMALL($J$7:$J$80,ROWS($A$7:A74)),$J$7:$J$80,0))),0))</f>
        <v/>
      </c>
      <c r="E74" s="38" t="str">
        <f t="array" ref="E74">IF($A74="","",INDEX('T4.2026'!E:E,INDEX($I$7:$I$80,MATCH(SMALL($J$7:$J$80,ROWS($A$7:A74)),$J$7:$J$80,0))))</f>
        <v/>
      </c>
      <c r="F74" s="38" t="str">
        <f t="array" ref="F74">IF($A74="","",IF(ROWS($A$7:A74)=COUNTIF('T4.2026'!$A$2:$A$75,"?*"),MIN(E74,MAX(0,ROUND(($B$3-SUM($G$6:G73))/D74,0))),MIN(E74,MAX(0,ROUNDDOWN(($B$3*(E74*(0.5+MOD(ABS(SIN($B$3*0.001+ROW()*12.9898))*43758.5453,1)))/SUMPRODUCT($E$7:$E$80,0.5+MOD(ABS(SIN($B$3*0.001+ROW($E$7:$E$80)*12.9898))*43758.5453,1)))/D74,0)))))</f>
        <v/>
      </c>
      <c r="G74" s="38" t="str">
        <f t="shared" si="0"/>
        <v/>
      </c>
      <c r="H74" s="38" t="str">
        <f t="shared" si="1"/>
        <v/>
      </c>
      <c r="I74" s="33" t="str">
        <f>IF(ROWS($I$7:I74)&lt;=COUNTIF('T4.2026'!$A$2:$A$75,"?*"),ROWS($I$7:I74)+1,"")</f>
        <v/>
      </c>
      <c r="J74" s="33">
        <f t="shared" si="2"/>
        <v>9.9999999999999997E+98</v>
      </c>
    </row>
    <row r="75" spans="1:10" ht="15.75" customHeight="1" x14ac:dyDescent="0.25">
      <c r="A75" s="33" t="str">
        <f t="array" ref="A75">IF(ROWS($A$7:A75)&gt;COUNTIF('T4.2026'!$A$2:$A$75,"?*"),"",INDEX('T4.2026'!A:A,INDEX($I$7:$I$80,MATCH(SMALL($J$7:$J$80,ROWS($A$7:A75)),$J$7:$J$80,0))))</f>
        <v/>
      </c>
      <c r="B75" s="37" t="str">
        <f t="array" ref="B75">IF($A75="","",INDEX('T4.2026'!B:B,INDEX($I$7:$I$80,MATCH(SMALL($J$7:$J$80,ROWS($A$7:A75)),$J$7:$J$80,0))))</f>
        <v/>
      </c>
      <c r="C75" s="33" t="str">
        <f t="array" ref="C75">IF($A75="","",INDEX('T4.2026'!C:C,INDEX($I$7:$I$80,MATCH(SMALL($J$7:$J$80,ROWS($A$7:A75)),$J$7:$J$80,0))))</f>
        <v/>
      </c>
      <c r="D75" s="38" t="str">
        <f t="array" ref="D75">IF($A75="","",ROUND(INDEX('T4.2026'!D:D,INDEX($I$7:$I$80,MATCH(SMALL($J$7:$J$80,ROWS($A$7:A75)),$J$7:$J$80,0))),0))</f>
        <v/>
      </c>
      <c r="E75" s="38" t="str">
        <f t="array" ref="E75">IF($A75="","",INDEX('T4.2026'!E:E,INDEX($I$7:$I$80,MATCH(SMALL($J$7:$J$80,ROWS($A$7:A75)),$J$7:$J$80,0))))</f>
        <v/>
      </c>
      <c r="F75" s="38" t="str">
        <f t="array" ref="F75">IF($A75="","",IF(ROWS($A$7:A75)=COUNTIF('T4.2026'!$A$2:$A$75,"?*"),MIN(E75,MAX(0,ROUND(($B$3-SUM($G$6:G74))/D75,0))),MIN(E75,MAX(0,ROUNDDOWN(($B$3*(E75*(0.5+MOD(ABS(SIN($B$3*0.001+ROW()*12.9898))*43758.5453,1)))/SUMPRODUCT($E$7:$E$80,0.5+MOD(ABS(SIN($B$3*0.001+ROW($E$7:$E$80)*12.9898))*43758.5453,1)))/D75,0)))))</f>
        <v/>
      </c>
      <c r="G75" s="38" t="str">
        <f t="shared" si="0"/>
        <v/>
      </c>
      <c r="H75" s="38" t="str">
        <f t="shared" si="1"/>
        <v/>
      </c>
      <c r="I75" s="33" t="str">
        <f>IF(ROWS($I$7:I75)&lt;=COUNTIF('T4.2026'!$A$2:$A$75,"?*"),ROWS($I$7:I75)+1,"")</f>
        <v/>
      </c>
      <c r="J75" s="33">
        <f t="shared" si="2"/>
        <v>9.9999999999999997E+98</v>
      </c>
    </row>
    <row r="76" spans="1:10" ht="15.75" customHeight="1" x14ac:dyDescent="0.25">
      <c r="A76" s="33" t="str">
        <f t="array" ref="A76">IF(ROWS($A$7:A76)&gt;COUNTIF('T4.2026'!$A$2:$A$75,"?*"),"",INDEX('T4.2026'!A:A,INDEX($I$7:$I$80,MATCH(SMALL($J$7:$J$80,ROWS($A$7:A76)),$J$7:$J$80,0))))</f>
        <v/>
      </c>
      <c r="B76" s="37" t="str">
        <f t="array" ref="B76">IF($A76="","",INDEX('T4.2026'!B:B,INDEX($I$7:$I$80,MATCH(SMALL($J$7:$J$80,ROWS($A$7:A76)),$J$7:$J$80,0))))</f>
        <v/>
      </c>
      <c r="C76" s="33" t="str">
        <f t="array" ref="C76">IF($A76="","",INDEX('T4.2026'!C:C,INDEX($I$7:$I$80,MATCH(SMALL($J$7:$J$80,ROWS($A$7:A76)),$J$7:$J$80,0))))</f>
        <v/>
      </c>
      <c r="D76" s="38" t="str">
        <f t="array" ref="D76">IF($A76="","",ROUND(INDEX('T4.2026'!D:D,INDEX($I$7:$I$80,MATCH(SMALL($J$7:$J$80,ROWS($A$7:A76)),$J$7:$J$80,0))),0))</f>
        <v/>
      </c>
      <c r="E76" s="38" t="str">
        <f t="array" ref="E76">IF($A76="","",INDEX('T4.2026'!E:E,INDEX($I$7:$I$80,MATCH(SMALL($J$7:$J$80,ROWS($A$7:A76)),$J$7:$J$80,0))))</f>
        <v/>
      </c>
      <c r="F76" s="38" t="str">
        <f t="array" ref="F76">IF($A76="","",IF(ROWS($A$7:A76)=COUNTIF('T4.2026'!$A$2:$A$75,"?*"),MIN(E76,MAX(0,ROUND(($B$3-SUM($G$6:G75))/D76,0))),MIN(E76,MAX(0,ROUNDDOWN(($B$3*(E76*(0.5+MOD(ABS(SIN($B$3*0.001+ROW()*12.9898))*43758.5453,1)))/SUMPRODUCT($E$7:$E$80,0.5+MOD(ABS(SIN($B$3*0.001+ROW($E$7:$E$80)*12.9898))*43758.5453,1)))/D76,0)))))</f>
        <v/>
      </c>
      <c r="G76" s="38" t="str">
        <f t="shared" si="0"/>
        <v/>
      </c>
      <c r="H76" s="38" t="str">
        <f t="shared" si="1"/>
        <v/>
      </c>
      <c r="I76" s="33" t="str">
        <f>IF(ROWS($I$7:I76)&lt;=COUNTIF('T4.2026'!$A$2:$A$75,"?*"),ROWS($I$7:I76)+1,"")</f>
        <v/>
      </c>
      <c r="J76" s="33">
        <f t="shared" si="2"/>
        <v>9.9999999999999997E+98</v>
      </c>
    </row>
    <row r="77" spans="1:10" ht="15.75" customHeight="1" x14ac:dyDescent="0.25">
      <c r="A77" s="33" t="str">
        <f t="array" ref="A77">IF(ROWS($A$7:A77)&gt;COUNTIF('T4.2026'!$A$2:$A$75,"?*"),"",INDEX('T4.2026'!A:A,INDEX($I$7:$I$80,MATCH(SMALL($J$7:$J$80,ROWS($A$7:A77)),$J$7:$J$80,0))))</f>
        <v/>
      </c>
      <c r="B77" s="37" t="str">
        <f t="array" ref="B77">IF($A77="","",INDEX('T4.2026'!B:B,INDEX($I$7:$I$80,MATCH(SMALL($J$7:$J$80,ROWS($A$7:A77)),$J$7:$J$80,0))))</f>
        <v/>
      </c>
      <c r="C77" s="33" t="str">
        <f t="array" ref="C77">IF($A77="","",INDEX('T4.2026'!C:C,INDEX($I$7:$I$80,MATCH(SMALL($J$7:$J$80,ROWS($A$7:A77)),$J$7:$J$80,0))))</f>
        <v/>
      </c>
      <c r="D77" s="38" t="str">
        <f t="array" ref="D77">IF($A77="","",ROUND(INDEX('T4.2026'!D:D,INDEX($I$7:$I$80,MATCH(SMALL($J$7:$J$80,ROWS($A$7:A77)),$J$7:$J$80,0))),0))</f>
        <v/>
      </c>
      <c r="E77" s="38" t="str">
        <f t="array" ref="E77">IF($A77="","",INDEX('T4.2026'!E:E,INDEX($I$7:$I$80,MATCH(SMALL($J$7:$J$80,ROWS($A$7:A77)),$J$7:$J$80,0))))</f>
        <v/>
      </c>
      <c r="F77" s="38" t="str">
        <f t="array" ref="F77">IF($A77="","",IF(ROWS($A$7:A77)=COUNTIF('T4.2026'!$A$2:$A$75,"?*"),MIN(E77,MAX(0,ROUND(($B$3-SUM($G$6:G76))/D77,0))),MIN(E77,MAX(0,ROUNDDOWN(($B$3*(E77*(0.5+MOD(ABS(SIN($B$3*0.001+ROW()*12.9898))*43758.5453,1)))/SUMPRODUCT($E$7:$E$80,0.5+MOD(ABS(SIN($B$3*0.001+ROW($E$7:$E$80)*12.9898))*43758.5453,1)))/D77,0)))))</f>
        <v/>
      </c>
      <c r="G77" s="38" t="str">
        <f t="shared" si="0"/>
        <v/>
      </c>
      <c r="H77" s="38" t="str">
        <f t="shared" si="1"/>
        <v/>
      </c>
      <c r="I77" s="33" t="str">
        <f>IF(ROWS($I$7:I77)&lt;=COUNTIF('T4.2026'!$A$2:$A$75,"?*"),ROWS($I$7:I77)+1,"")</f>
        <v/>
      </c>
      <c r="J77" s="33">
        <f t="shared" si="2"/>
        <v>9.9999999999999997E+98</v>
      </c>
    </row>
    <row r="78" spans="1:10" ht="15.75" customHeight="1" x14ac:dyDescent="0.25">
      <c r="A78" s="33" t="str">
        <f t="array" ref="A78">IF(ROWS($A$7:A78)&gt;COUNTIF('T4.2026'!$A$2:$A$75,"?*"),"",INDEX('T4.2026'!A:A,INDEX($I$7:$I$80,MATCH(SMALL($J$7:$J$80,ROWS($A$7:A78)),$J$7:$J$80,0))))</f>
        <v/>
      </c>
      <c r="B78" s="37" t="str">
        <f t="array" ref="B78">IF($A78="","",INDEX('T4.2026'!B:B,INDEX($I$7:$I$80,MATCH(SMALL($J$7:$J$80,ROWS($A$7:A78)),$J$7:$J$80,0))))</f>
        <v/>
      </c>
      <c r="C78" s="33" t="str">
        <f t="array" ref="C78">IF($A78="","",INDEX('T4.2026'!C:C,INDEX($I$7:$I$80,MATCH(SMALL($J$7:$J$80,ROWS($A$7:A78)),$J$7:$J$80,0))))</f>
        <v/>
      </c>
      <c r="D78" s="38" t="str">
        <f t="array" ref="D78">IF($A78="","",ROUND(INDEX('T4.2026'!D:D,INDEX($I$7:$I$80,MATCH(SMALL($J$7:$J$80,ROWS($A$7:A78)),$J$7:$J$80,0))),0))</f>
        <v/>
      </c>
      <c r="E78" s="38" t="str">
        <f t="array" ref="E78">IF($A78="","",INDEX('T4.2026'!E:E,INDEX($I$7:$I$80,MATCH(SMALL($J$7:$J$80,ROWS($A$7:A78)),$J$7:$J$80,0))))</f>
        <v/>
      </c>
      <c r="F78" s="38" t="str">
        <f t="array" ref="F78">IF($A78="","",IF(ROWS($A$7:A78)=COUNTIF('T4.2026'!$A$2:$A$75,"?*"),MIN(E78,MAX(0,ROUND(($B$3-SUM($G$6:G77))/D78,0))),MIN(E78,MAX(0,ROUNDDOWN(($B$3*(E78*(0.5+MOD(ABS(SIN($B$3*0.001+ROW()*12.9898))*43758.5453,1)))/SUMPRODUCT($E$7:$E$80,0.5+MOD(ABS(SIN($B$3*0.001+ROW($E$7:$E$80)*12.9898))*43758.5453,1)))/D78,0)))))</f>
        <v/>
      </c>
      <c r="G78" s="38" t="str">
        <f t="shared" si="0"/>
        <v/>
      </c>
      <c r="H78" s="38" t="str">
        <f t="shared" si="1"/>
        <v/>
      </c>
      <c r="I78" s="33" t="str">
        <f>IF(ROWS($I$7:I78)&lt;=COUNTIF('T4.2026'!$A$2:$A$75,"?*"),ROWS($I$7:I78)+1,"")</f>
        <v/>
      </c>
      <c r="J78" s="33">
        <f t="shared" si="2"/>
        <v>9.9999999999999997E+98</v>
      </c>
    </row>
    <row r="79" spans="1:10" ht="15.75" customHeight="1" x14ac:dyDescent="0.25">
      <c r="A79" s="33" t="str">
        <f t="array" ref="A79">IF(ROWS($A$7:A79)&gt;COUNTIF('T4.2026'!$A$2:$A$75,"?*"),"",INDEX('T4.2026'!A:A,INDEX($I$7:$I$80,MATCH(SMALL($J$7:$J$80,ROWS($A$7:A79)),$J$7:$J$80,0))))</f>
        <v/>
      </c>
      <c r="B79" s="37" t="str">
        <f t="array" ref="B79">IF($A79="","",INDEX('T4.2026'!B:B,INDEX($I$7:$I$80,MATCH(SMALL($J$7:$J$80,ROWS($A$7:A79)),$J$7:$J$80,0))))</f>
        <v/>
      </c>
      <c r="C79" s="33" t="str">
        <f t="array" ref="C79">IF($A79="","",INDEX('T4.2026'!C:C,INDEX($I$7:$I$80,MATCH(SMALL($J$7:$J$80,ROWS($A$7:A79)),$J$7:$J$80,0))))</f>
        <v/>
      </c>
      <c r="D79" s="38" t="str">
        <f t="array" ref="D79">IF($A79="","",ROUND(INDEX('T4.2026'!D:D,INDEX($I$7:$I$80,MATCH(SMALL($J$7:$J$80,ROWS($A$7:A79)),$J$7:$J$80,0))),0))</f>
        <v/>
      </c>
      <c r="E79" s="38" t="str">
        <f t="array" ref="E79">IF($A79="","",INDEX('T4.2026'!E:E,INDEX($I$7:$I$80,MATCH(SMALL($J$7:$J$80,ROWS($A$7:A79)),$J$7:$J$80,0))))</f>
        <v/>
      </c>
      <c r="F79" s="38" t="str">
        <f t="array" ref="F79">IF($A79="","",IF(ROWS($A$7:A79)=COUNTIF('T4.2026'!$A$2:$A$75,"?*"),MIN(E79,MAX(0,ROUND(($B$3-SUM($G$6:G78))/D79,0))),MIN(E79,MAX(0,ROUNDDOWN(($B$3*(E79*(0.5+MOD(ABS(SIN($B$3*0.001+ROW()*12.9898))*43758.5453,1)))/SUMPRODUCT($E$7:$E$80,0.5+MOD(ABS(SIN($B$3*0.001+ROW($E$7:$E$80)*12.9898))*43758.5453,1)))/D79,0)))))</f>
        <v/>
      </c>
      <c r="G79" s="38" t="str">
        <f t="shared" si="0"/>
        <v/>
      </c>
      <c r="H79" s="38" t="str">
        <f t="shared" si="1"/>
        <v/>
      </c>
      <c r="I79" s="33" t="str">
        <f>IF(ROWS($I$7:I79)&lt;=COUNTIF('T4.2026'!$A$2:$A$75,"?*"),ROWS($I$7:I79)+1,"")</f>
        <v/>
      </c>
      <c r="J79" s="33">
        <f t="shared" si="2"/>
        <v>9.9999999999999997E+98</v>
      </c>
    </row>
    <row r="80" spans="1:10" ht="15.75" customHeight="1" x14ac:dyDescent="0.25">
      <c r="A80" s="33" t="str">
        <f t="array" ref="A80">IF(ROWS($A$7:A80)&gt;COUNTIF('T4.2026'!$A$2:$A$75,"?*"),"",INDEX('T4.2026'!A:A,INDEX($I$7:$I$80,MATCH(SMALL($J$7:$J$80,ROWS($A$7:A80)),$J$7:$J$80,0))))</f>
        <v/>
      </c>
      <c r="B80" s="37" t="str">
        <f t="array" ref="B80">IF($A80="","",INDEX('T4.2026'!B:B,INDEX($I$7:$I$80,MATCH(SMALL($J$7:$J$80,ROWS($A$7:A80)),$J$7:$J$80,0))))</f>
        <v/>
      </c>
      <c r="C80" s="33" t="str">
        <f t="array" ref="C80">IF($A80="","",INDEX('T4.2026'!C:C,INDEX($I$7:$I$80,MATCH(SMALL($J$7:$J$80,ROWS($A$7:A80)),$J$7:$J$80,0))))</f>
        <v/>
      </c>
      <c r="D80" s="38" t="str">
        <f t="array" ref="D80">IF($A80="","",ROUND(INDEX('T4.2026'!D:D,INDEX($I$7:$I$80,MATCH(SMALL($J$7:$J$80,ROWS($A$7:A80)),$J$7:$J$80,0))),0))</f>
        <v/>
      </c>
      <c r="E80" s="38" t="str">
        <f t="array" ref="E80">IF($A80="","",INDEX('T4.2026'!E:E,INDEX($I$7:$I$80,MATCH(SMALL($J$7:$J$80,ROWS($A$7:A80)),$J$7:$J$80,0))))</f>
        <v/>
      </c>
      <c r="F80" s="38" t="str">
        <f t="array" ref="F80">IF($A80="","",IF(ROWS($A$7:A80)=COUNTIF('T4.2026'!$A$2:$A$75,"?*"),MIN(E80,MAX(0,ROUND(($B$3-SUM($G$6:G79))/D80,0))),MIN(E80,MAX(0,ROUNDDOWN(($B$3*(E80*(0.5+MOD(ABS(SIN($B$3*0.001+ROW()*12.9898))*43758.5453,1)))/SUMPRODUCT($E$7:$E$80,0.5+MOD(ABS(SIN($B$3*0.001+ROW($E$7:$E$80)*12.9898))*43758.5453,1)))/D80,0)))))</f>
        <v/>
      </c>
      <c r="G80" s="38" t="str">
        <f t="shared" si="0"/>
        <v/>
      </c>
      <c r="H80" s="38" t="str">
        <f t="shared" si="1"/>
        <v/>
      </c>
      <c r="I80" s="33" t="str">
        <f>IF(ROWS($I$7:I80)&lt;=COUNTIF('T4.2026'!$A$2:$A$75,"?*"),ROWS($I$7:I80)+1,"")</f>
        <v/>
      </c>
      <c r="J80" s="33">
        <f t="shared" si="2"/>
        <v>9.9999999999999997E+98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H2"/>
    <mergeCell ref="B4:H4"/>
  </mergeCells>
  <dataValidations count="1">
    <dataValidation type="custom" allowBlank="1" showInputMessage="1" showErrorMessage="1" prompt="Nhập tổng tiền - Nhập số tiền bán cần phân bổ (VND)." sqref="B3" xr:uid="{00000000-0002-0000-0200-000000000000}">
      <formula1>AND(ISNUMBER(B3),B3&gt;=0)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0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F2" sqref="AF1:AI1048576"/>
    </sheetView>
  </sheetViews>
  <sheetFormatPr defaultColWidth="14.42578125" defaultRowHeight="15" customHeight="1" x14ac:dyDescent="0.25"/>
  <cols>
    <col min="1" max="1" width="15.28515625" customWidth="1"/>
    <col min="2" max="2" width="39.5703125" customWidth="1"/>
    <col min="3" max="8" width="8.42578125" customWidth="1"/>
    <col min="9" max="9" width="12.42578125" customWidth="1"/>
    <col min="10" max="32" width="8.7109375" customWidth="1"/>
    <col min="33" max="33" width="8.42578125" customWidth="1"/>
    <col min="34" max="34" width="10.5703125" customWidth="1"/>
    <col min="35" max="35" width="11.28515625" customWidth="1"/>
    <col min="36" max="36" width="11.42578125" customWidth="1"/>
    <col min="37" max="37" width="8.7109375" customWidth="1"/>
  </cols>
  <sheetData>
    <row r="1" spans="1:37" ht="21" x14ac:dyDescent="0.35">
      <c r="A1" s="100" t="s">
        <v>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6"/>
    </row>
    <row r="2" spans="1:37" ht="36.75" customHeight="1" x14ac:dyDescent="0.25">
      <c r="A2" s="13" t="s">
        <v>29</v>
      </c>
      <c r="B2" s="16">
        <v>11000000</v>
      </c>
      <c r="C2" s="101" t="s">
        <v>35</v>
      </c>
      <c r="D2" s="99"/>
      <c r="E2" s="102">
        <f ca="1">'SL bán theo ngày'!D2</f>
        <v>10999796</v>
      </c>
      <c r="F2" s="99"/>
      <c r="G2" s="101" t="s">
        <v>45</v>
      </c>
      <c r="H2" s="99"/>
      <c r="I2" s="23">
        <f ca="1">'SL bán theo ngày'!F2</f>
        <v>-204</v>
      </c>
      <c r="J2" s="25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37" ht="28.5" x14ac:dyDescent="0.25">
      <c r="A3" s="13" t="s">
        <v>62</v>
      </c>
      <c r="B3" s="117">
        <v>5</v>
      </c>
      <c r="C3" s="101" t="s">
        <v>65</v>
      </c>
      <c r="D3" s="99"/>
      <c r="E3" s="103">
        <v>0.01</v>
      </c>
      <c r="F3" s="99"/>
      <c r="G3" s="101" t="s">
        <v>68</v>
      </c>
      <c r="H3" s="99"/>
      <c r="I3" s="13" t="str">
        <f ca="1">'SL bán theo ngày'!F3</f>
        <v>11–13 món</v>
      </c>
      <c r="J3" s="31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ht="15" customHeight="1" x14ac:dyDescent="0.25">
      <c r="A5" s="89" t="s">
        <v>80</v>
      </c>
      <c r="B5" s="90"/>
      <c r="C5" s="118">
        <f>'SL bán theo ngày'!F8</f>
        <v>1</v>
      </c>
      <c r="D5" s="118">
        <f>'SL bán theo ngày'!G8</f>
        <v>2</v>
      </c>
      <c r="E5" s="118">
        <f>'SL bán theo ngày'!H8</f>
        <v>3</v>
      </c>
      <c r="F5" s="118">
        <f>'SL bán theo ngày'!I8</f>
        <v>4</v>
      </c>
      <c r="G5" s="118">
        <f>'SL bán theo ngày'!J8</f>
        <v>5</v>
      </c>
      <c r="H5" s="118">
        <f>'SL bán theo ngày'!K8</f>
        <v>0</v>
      </c>
      <c r="I5" s="118">
        <f>'SL bán theo ngày'!L8</f>
        <v>0</v>
      </c>
      <c r="J5" s="118">
        <f>'SL bán theo ngày'!M8</f>
        <v>0</v>
      </c>
      <c r="K5" s="118">
        <f>'SL bán theo ngày'!N8</f>
        <v>0</v>
      </c>
      <c r="L5" s="118">
        <f>'SL bán theo ngày'!O8</f>
        <v>0</v>
      </c>
      <c r="M5" s="118">
        <f>'SL bán theo ngày'!P8</f>
        <v>0</v>
      </c>
      <c r="N5" s="118">
        <f>'SL bán theo ngày'!Q8</f>
        <v>0</v>
      </c>
      <c r="O5" s="118">
        <f>'SL bán theo ngày'!R8</f>
        <v>0</v>
      </c>
      <c r="P5" s="118">
        <f>'SL bán theo ngày'!S8</f>
        <v>0</v>
      </c>
      <c r="Q5" s="118">
        <f>'SL bán theo ngày'!T8</f>
        <v>0</v>
      </c>
      <c r="R5" s="118">
        <f>'SL bán theo ngày'!U8</f>
        <v>0</v>
      </c>
      <c r="S5" s="118">
        <f>'SL bán theo ngày'!V8</f>
        <v>0</v>
      </c>
      <c r="T5" s="118">
        <f>'SL bán theo ngày'!W8</f>
        <v>0</v>
      </c>
      <c r="U5" s="118">
        <f>'SL bán theo ngày'!X8</f>
        <v>0</v>
      </c>
      <c r="V5" s="118">
        <f>'SL bán theo ngày'!Y8</f>
        <v>0</v>
      </c>
      <c r="W5" s="118">
        <f>'SL bán theo ngày'!Z8</f>
        <v>0</v>
      </c>
      <c r="X5" s="118">
        <f>'SL bán theo ngày'!AA8</f>
        <v>0</v>
      </c>
      <c r="Y5" s="118">
        <f>'SL bán theo ngày'!AB8</f>
        <v>0</v>
      </c>
      <c r="Z5" s="118">
        <f>'SL bán theo ngày'!AC8</f>
        <v>0</v>
      </c>
      <c r="AA5" s="118">
        <f>'SL bán theo ngày'!AD8</f>
        <v>0</v>
      </c>
      <c r="AB5" s="118">
        <f>'SL bán theo ngày'!AE8</f>
        <v>0</v>
      </c>
      <c r="AC5" s="118">
        <f>'SL bán theo ngày'!AF8</f>
        <v>0</v>
      </c>
      <c r="AD5" s="118">
        <f>'SL bán theo ngày'!AG8</f>
        <v>0</v>
      </c>
      <c r="AE5" s="118">
        <f>'SL bán theo ngày'!AH8</f>
        <v>0</v>
      </c>
      <c r="AF5" s="118">
        <f>'SL bán theo ngày'!AI8</f>
        <v>0</v>
      </c>
      <c r="AG5" s="34"/>
      <c r="AH5" s="34"/>
      <c r="AI5" s="34"/>
      <c r="AJ5" s="91" t="s">
        <v>189</v>
      </c>
      <c r="AK5" s="92"/>
    </row>
    <row r="6" spans="1:37" x14ac:dyDescent="0.25">
      <c r="A6" s="97" t="s">
        <v>193</v>
      </c>
      <c r="B6" s="90"/>
      <c r="C6" s="39">
        <f ca="1">'SL bán theo ngày'!F84</f>
        <v>14</v>
      </c>
      <c r="D6" s="39">
        <f ca="1">'SL bán theo ngày'!G84</f>
        <v>13</v>
      </c>
      <c r="E6" s="39">
        <f ca="1">'SL bán theo ngày'!H84</f>
        <v>13</v>
      </c>
      <c r="F6" s="39">
        <f ca="1">'SL bán theo ngày'!I84</f>
        <v>13</v>
      </c>
      <c r="G6" s="39">
        <f ca="1">'SL bán theo ngày'!J84</f>
        <v>14</v>
      </c>
      <c r="H6" s="39">
        <f>'SL bán theo ngày'!K84</f>
        <v>0</v>
      </c>
      <c r="I6" s="39">
        <f>'SL bán theo ngày'!L84</f>
        <v>0</v>
      </c>
      <c r="J6" s="39">
        <f>'SL bán theo ngày'!M84</f>
        <v>0</v>
      </c>
      <c r="K6" s="39">
        <f>'SL bán theo ngày'!N84</f>
        <v>0</v>
      </c>
      <c r="L6" s="39">
        <f>'SL bán theo ngày'!O84</f>
        <v>0</v>
      </c>
      <c r="M6" s="39">
        <f>'SL bán theo ngày'!P84</f>
        <v>0</v>
      </c>
      <c r="N6" s="39">
        <f>'SL bán theo ngày'!Q84</f>
        <v>0</v>
      </c>
      <c r="O6" s="39">
        <f>'SL bán theo ngày'!R84</f>
        <v>0</v>
      </c>
      <c r="P6" s="39">
        <f>'SL bán theo ngày'!S84</f>
        <v>0</v>
      </c>
      <c r="Q6" s="39">
        <f>'SL bán theo ngày'!T84</f>
        <v>0</v>
      </c>
      <c r="R6" s="39">
        <f>'SL bán theo ngày'!U84</f>
        <v>0</v>
      </c>
      <c r="S6" s="39">
        <f>'SL bán theo ngày'!V84</f>
        <v>0</v>
      </c>
      <c r="T6" s="39">
        <f>'SL bán theo ngày'!W84</f>
        <v>0</v>
      </c>
      <c r="U6" s="39">
        <f>'SL bán theo ngày'!X84</f>
        <v>0</v>
      </c>
      <c r="V6" s="39">
        <f>'SL bán theo ngày'!Y84</f>
        <v>0</v>
      </c>
      <c r="W6" s="39">
        <f>'SL bán theo ngày'!Z84</f>
        <v>0</v>
      </c>
      <c r="X6" s="39">
        <f>'SL bán theo ngày'!AA84</f>
        <v>0</v>
      </c>
      <c r="Y6" s="39">
        <f>'SL bán theo ngày'!AB84</f>
        <v>0</v>
      </c>
      <c r="Z6" s="39">
        <f>'SL bán theo ngày'!AC84</f>
        <v>0</v>
      </c>
      <c r="AA6" s="39">
        <f>'SL bán theo ngày'!AD84</f>
        <v>0</v>
      </c>
      <c r="AB6" s="39">
        <f>'SL bán theo ngày'!AE84</f>
        <v>0</v>
      </c>
      <c r="AC6" s="39">
        <f>'SL bán theo ngày'!AF84</f>
        <v>0</v>
      </c>
      <c r="AD6" s="39">
        <f>'SL bán theo ngày'!AG84</f>
        <v>0</v>
      </c>
      <c r="AE6" s="39">
        <f>'SL bán theo ngày'!AH84</f>
        <v>0</v>
      </c>
      <c r="AF6" s="39">
        <f>'SL bán theo ngày'!AI84</f>
        <v>0</v>
      </c>
      <c r="AG6" s="40"/>
      <c r="AH6" s="40"/>
      <c r="AI6" s="40"/>
      <c r="AJ6" s="93"/>
      <c r="AK6" s="94"/>
    </row>
    <row r="7" spans="1:37" x14ac:dyDescent="0.25">
      <c r="A7" s="97" t="s">
        <v>211</v>
      </c>
      <c r="B7" s="90"/>
      <c r="C7" s="39">
        <f ca="1">'SL bán theo ngày'!F85</f>
        <v>599</v>
      </c>
      <c r="D7" s="39">
        <f ca="1">'SL bán theo ngày'!G85</f>
        <v>598</v>
      </c>
      <c r="E7" s="39">
        <f ca="1">'SL bán theo ngày'!H85</f>
        <v>596</v>
      </c>
      <c r="F7" s="39">
        <f ca="1">'SL bán theo ngày'!I85</f>
        <v>595</v>
      </c>
      <c r="G7" s="39">
        <f ca="1">'SL bán theo ngày'!J85</f>
        <v>594</v>
      </c>
      <c r="H7" s="39">
        <f>'SL bán theo ngày'!K85</f>
        <v>0</v>
      </c>
      <c r="I7" s="39">
        <f>'SL bán theo ngày'!L85</f>
        <v>0</v>
      </c>
      <c r="J7" s="39">
        <f>'SL bán theo ngày'!M85</f>
        <v>0</v>
      </c>
      <c r="K7" s="39">
        <f>'SL bán theo ngày'!N85</f>
        <v>0</v>
      </c>
      <c r="L7" s="39">
        <f>'SL bán theo ngày'!O85</f>
        <v>0</v>
      </c>
      <c r="M7" s="39">
        <f>'SL bán theo ngày'!P85</f>
        <v>0</v>
      </c>
      <c r="N7" s="39">
        <f>'SL bán theo ngày'!Q85</f>
        <v>0</v>
      </c>
      <c r="O7" s="39">
        <f>'SL bán theo ngày'!R85</f>
        <v>0</v>
      </c>
      <c r="P7" s="39">
        <f>'SL bán theo ngày'!S85</f>
        <v>0</v>
      </c>
      <c r="Q7" s="39">
        <f>'SL bán theo ngày'!T85</f>
        <v>0</v>
      </c>
      <c r="R7" s="39">
        <f>'SL bán theo ngày'!U85</f>
        <v>0</v>
      </c>
      <c r="S7" s="39">
        <f>'SL bán theo ngày'!V85</f>
        <v>0</v>
      </c>
      <c r="T7" s="39">
        <f>'SL bán theo ngày'!W85</f>
        <v>0</v>
      </c>
      <c r="U7" s="39">
        <f>'SL bán theo ngày'!X85</f>
        <v>0</v>
      </c>
      <c r="V7" s="39">
        <f>'SL bán theo ngày'!Y85</f>
        <v>0</v>
      </c>
      <c r="W7" s="39">
        <f>'SL bán theo ngày'!Z85</f>
        <v>0</v>
      </c>
      <c r="X7" s="39">
        <f>'SL bán theo ngày'!AA85</f>
        <v>0</v>
      </c>
      <c r="Y7" s="39">
        <f>'SL bán theo ngày'!AB85</f>
        <v>0</v>
      </c>
      <c r="Z7" s="39">
        <f>'SL bán theo ngày'!AC85</f>
        <v>0</v>
      </c>
      <c r="AA7" s="39">
        <f>'SL bán theo ngày'!AD85</f>
        <v>0</v>
      </c>
      <c r="AB7" s="39">
        <f>'SL bán theo ngày'!AE85</f>
        <v>0</v>
      </c>
      <c r="AC7" s="39">
        <f>'SL bán theo ngày'!AF85</f>
        <v>0</v>
      </c>
      <c r="AD7" s="39">
        <f>'SL bán theo ngày'!AG85</f>
        <v>0</v>
      </c>
      <c r="AE7" s="39">
        <f>'SL bán theo ngày'!AH85</f>
        <v>0</v>
      </c>
      <c r="AF7" s="39">
        <f>'SL bán theo ngày'!AI85</f>
        <v>0</v>
      </c>
      <c r="AG7" s="40"/>
      <c r="AH7" s="40"/>
      <c r="AI7" s="40"/>
      <c r="AJ7" s="95"/>
      <c r="AK7" s="96"/>
    </row>
    <row r="8" spans="1:37" x14ac:dyDescent="0.25">
      <c r="A8" s="97" t="s">
        <v>212</v>
      </c>
      <c r="B8" s="90"/>
      <c r="C8" s="41">
        <f ca="1">'SL bán theo ngày'!F86</f>
        <v>2226118</v>
      </c>
      <c r="D8" s="41">
        <f ca="1">'SL bán theo ngày'!G86</f>
        <v>2198669</v>
      </c>
      <c r="E8" s="41">
        <f ca="1">'SL bán theo ngày'!H86</f>
        <v>2163150</v>
      </c>
      <c r="F8" s="41">
        <f ca="1">'SL bán theo ngày'!I86</f>
        <v>2192892</v>
      </c>
      <c r="G8" s="41">
        <f ca="1">'SL bán theo ngày'!J86</f>
        <v>2218967</v>
      </c>
      <c r="H8" s="41">
        <f>'SL bán theo ngày'!K86</f>
        <v>0</v>
      </c>
      <c r="I8" s="41">
        <f>'SL bán theo ngày'!L86</f>
        <v>0</v>
      </c>
      <c r="J8" s="41">
        <f>'SL bán theo ngày'!M86</f>
        <v>0</v>
      </c>
      <c r="K8" s="41">
        <f>'SL bán theo ngày'!N86</f>
        <v>0</v>
      </c>
      <c r="L8" s="41">
        <f>'SL bán theo ngày'!O86</f>
        <v>0</v>
      </c>
      <c r="M8" s="41">
        <f>'SL bán theo ngày'!P86</f>
        <v>0</v>
      </c>
      <c r="N8" s="41">
        <f>'SL bán theo ngày'!Q86</f>
        <v>0</v>
      </c>
      <c r="O8" s="41">
        <f>'SL bán theo ngày'!R86</f>
        <v>0</v>
      </c>
      <c r="P8" s="41">
        <f>'SL bán theo ngày'!S86</f>
        <v>0</v>
      </c>
      <c r="Q8" s="41">
        <f>'SL bán theo ngày'!T86</f>
        <v>0</v>
      </c>
      <c r="R8" s="41">
        <f>'SL bán theo ngày'!U86</f>
        <v>0</v>
      </c>
      <c r="S8" s="41">
        <f>'SL bán theo ngày'!V86</f>
        <v>0</v>
      </c>
      <c r="T8" s="41">
        <f>'SL bán theo ngày'!W86</f>
        <v>0</v>
      </c>
      <c r="U8" s="41">
        <f>'SL bán theo ngày'!X86</f>
        <v>0</v>
      </c>
      <c r="V8" s="41">
        <f>'SL bán theo ngày'!Y86</f>
        <v>0</v>
      </c>
      <c r="W8" s="41">
        <f>'SL bán theo ngày'!Z86</f>
        <v>0</v>
      </c>
      <c r="X8" s="41">
        <f>'SL bán theo ngày'!AA86</f>
        <v>0</v>
      </c>
      <c r="Y8" s="41">
        <f>'SL bán theo ngày'!AB86</f>
        <v>0</v>
      </c>
      <c r="Z8" s="41">
        <f>'SL bán theo ngày'!AC86</f>
        <v>0</v>
      </c>
      <c r="AA8" s="41">
        <f>'SL bán theo ngày'!AD86</f>
        <v>0</v>
      </c>
      <c r="AB8" s="41">
        <f>'SL bán theo ngày'!AE86</f>
        <v>0</v>
      </c>
      <c r="AC8" s="41">
        <f>'SL bán theo ngày'!AF86</f>
        <v>0</v>
      </c>
      <c r="AD8" s="41">
        <f>'SL bán theo ngày'!AG86</f>
        <v>0</v>
      </c>
      <c r="AE8" s="41">
        <f>'SL bán theo ngày'!AH86</f>
        <v>0</v>
      </c>
      <c r="AF8" s="41">
        <f>'SL bán theo ngày'!AI86</f>
        <v>0</v>
      </c>
      <c r="AG8" s="42"/>
      <c r="AH8" s="42"/>
      <c r="AI8" s="42"/>
      <c r="AJ8" s="98">
        <f ca="1">'SL bán theo ngày'!AJ86</f>
        <v>10999796</v>
      </c>
      <c r="AK8" s="99"/>
    </row>
    <row r="9" spans="1:37" ht="29.25" customHeight="1" x14ac:dyDescent="0.25">
      <c r="A9" s="43" t="s">
        <v>213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ht="28.5" x14ac:dyDescent="0.25">
      <c r="A10" s="44" t="s">
        <v>214</v>
      </c>
      <c r="B10" s="45" t="s">
        <v>215</v>
      </c>
      <c r="C10" s="46">
        <f t="shared" ref="C10:AF10" si="0">C5</f>
        <v>1</v>
      </c>
      <c r="D10" s="46">
        <f t="shared" si="0"/>
        <v>2</v>
      </c>
      <c r="E10" s="47">
        <f t="shared" si="0"/>
        <v>3</v>
      </c>
      <c r="F10" s="46">
        <f t="shared" si="0"/>
        <v>4</v>
      </c>
      <c r="G10" s="46">
        <f t="shared" si="0"/>
        <v>5</v>
      </c>
      <c r="H10" s="46">
        <f t="shared" si="0"/>
        <v>0</v>
      </c>
      <c r="I10" s="46">
        <f t="shared" si="0"/>
        <v>0</v>
      </c>
      <c r="J10" s="46">
        <f t="shared" si="0"/>
        <v>0</v>
      </c>
      <c r="K10" s="46">
        <f t="shared" si="0"/>
        <v>0</v>
      </c>
      <c r="L10" s="46">
        <f t="shared" si="0"/>
        <v>0</v>
      </c>
      <c r="M10" s="46">
        <f t="shared" si="0"/>
        <v>0</v>
      </c>
      <c r="N10" s="46">
        <f t="shared" si="0"/>
        <v>0</v>
      </c>
      <c r="O10" s="46">
        <f t="shared" si="0"/>
        <v>0</v>
      </c>
      <c r="P10" s="46">
        <f t="shared" si="0"/>
        <v>0</v>
      </c>
      <c r="Q10" s="46">
        <f t="shared" si="0"/>
        <v>0</v>
      </c>
      <c r="R10" s="46">
        <f t="shared" si="0"/>
        <v>0</v>
      </c>
      <c r="S10" s="46">
        <f t="shared" si="0"/>
        <v>0</v>
      </c>
      <c r="T10" s="46">
        <f t="shared" si="0"/>
        <v>0</v>
      </c>
      <c r="U10" s="46">
        <f t="shared" si="0"/>
        <v>0</v>
      </c>
      <c r="V10" s="46">
        <f t="shared" si="0"/>
        <v>0</v>
      </c>
      <c r="W10" s="46">
        <f t="shared" si="0"/>
        <v>0</v>
      </c>
      <c r="X10" s="46">
        <f t="shared" si="0"/>
        <v>0</v>
      </c>
      <c r="Y10" s="46">
        <f t="shared" si="0"/>
        <v>0</v>
      </c>
      <c r="Z10" s="46">
        <f t="shared" si="0"/>
        <v>0</v>
      </c>
      <c r="AA10" s="46">
        <f t="shared" si="0"/>
        <v>0</v>
      </c>
      <c r="AB10" s="46">
        <f t="shared" si="0"/>
        <v>0</v>
      </c>
      <c r="AC10" s="46">
        <f t="shared" si="0"/>
        <v>0</v>
      </c>
      <c r="AD10" s="46">
        <f t="shared" si="0"/>
        <v>0</v>
      </c>
      <c r="AE10" s="46">
        <f t="shared" si="0"/>
        <v>0</v>
      </c>
      <c r="AF10" s="46">
        <f t="shared" si="0"/>
        <v>0</v>
      </c>
      <c r="AG10" s="46" t="s">
        <v>85</v>
      </c>
      <c r="AH10" s="46" t="s">
        <v>216</v>
      </c>
      <c r="AI10" s="46" t="s">
        <v>217</v>
      </c>
      <c r="AJ10" s="44" t="s">
        <v>218</v>
      </c>
      <c r="AK10" s="44" t="s">
        <v>219</v>
      </c>
    </row>
    <row r="11" spans="1:37" x14ac:dyDescent="0.25">
      <c r="A11" s="27" t="str">
        <f t="array" aca="1" ref="A11" ca="1">IF(ROWS($A$11:$A11)&lt;=COUNTIF('SL bán theo ngày'!$A$9:$A$82,"?*"),INDEX('SL bán theo ngày'!A$9:A$82,ROWS($A$11:$A11)),"")</f>
        <v>Bánh Khoai Tây xá 4kg</v>
      </c>
      <c r="B11" s="37" t="str">
        <f t="array" aca="1" ref="B11" ca="1">IF(ROWS($A$11:$A11)&lt;=COUNTIF('SL bán theo ngày'!$A$9:$A$82,"?*"),INDEX('SL bán theo ngày'!B$9:B$82,ROWS($A$11:$A11)),"")</f>
        <v>Bánh Khoai Tây xá 4kg</v>
      </c>
      <c r="C11" s="48">
        <f t="array" aca="1" ref="C11" ca="1">IF(ROWS($A$11:$A11)&lt;=COUNTIF('SL bán theo ngày'!$A$9:$A$82,"?*"),INDEX('SL bán theo ngày'!F$9:F$82,ROWS($A$11:$A11)),"")</f>
        <v>1</v>
      </c>
      <c r="D11" s="49">
        <f t="array" aca="1" ref="D11" ca="1">IF(ROWS($A$11:$A11)&lt;=COUNTIF('SL bán theo ngày'!$A$9:$A$82,"?*"),INDEX('SL bán theo ngày'!G$9:G$82,ROWS($A$11:$A11)),"")</f>
        <v>1</v>
      </c>
      <c r="E11" s="49">
        <f t="array" aca="1" ref="E11" ca="1">IF(ROWS($A$11:$A11)&lt;=COUNTIF('SL bán theo ngày'!$A$9:$A$82,"?*"),INDEX('SL bán theo ngày'!H$9:H$82,ROWS($A$11:$A11)),"")</f>
        <v>0</v>
      </c>
      <c r="F11" s="49">
        <f t="array" aca="1" ref="F11" ca="1">IF(ROWS($A$11:$A11)&lt;=COUNTIF('SL bán theo ngày'!$A$9:$A$82,"?*"),INDEX('SL bán theo ngày'!I$9:I$82,ROWS($A$11:$A11)),"")</f>
        <v>1</v>
      </c>
      <c r="G11" s="49">
        <f t="array" aca="1" ref="G11" ca="1">IF(ROWS($A$11:$A11)&lt;=COUNTIF('SL bán theo ngày'!$A$9:$A$82,"?*"),INDEX('SL bán theo ngày'!J$9:J$82,ROWS($A$11:$A11)),"")</f>
        <v>1</v>
      </c>
      <c r="H11" s="49" t="str">
        <f t="array" aca="1" ref="H11" ca="1">IF(ROWS($A$11:$A11)&lt;=COUNTIF('SL bán theo ngày'!$A$9:$A$82,"?*"),INDEX('SL bán theo ngày'!K$9:K$82,ROWS($A$11:$A11)),"")</f>
        <v/>
      </c>
      <c r="I11" s="49" t="str">
        <f t="array" aca="1" ref="I11" ca="1">IF(ROWS($A$11:$A11)&lt;=COUNTIF('SL bán theo ngày'!$A$9:$A$82,"?*"),INDEX('SL bán theo ngày'!L$9:L$82,ROWS($A$11:$A11)),"")</f>
        <v/>
      </c>
      <c r="J11" s="49" t="str">
        <f t="array" aca="1" ref="J11" ca="1">IF(ROWS($A$11:$A11)&lt;=COUNTIF('SL bán theo ngày'!$A$9:$A$82,"?*"),INDEX('SL bán theo ngày'!M$9:M$82,ROWS($A$11:$A11)),"")</f>
        <v/>
      </c>
      <c r="K11" s="49" t="str">
        <f t="array" aca="1" ref="K11" ca="1">IF(ROWS($A$11:$A11)&lt;=COUNTIF('SL bán theo ngày'!$A$9:$A$82,"?*"),INDEX('SL bán theo ngày'!N$9:N$82,ROWS($A$11:$A11)),"")</f>
        <v/>
      </c>
      <c r="L11" s="49" t="str">
        <f t="array" aca="1" ref="L11" ca="1">IF(ROWS($A$11:$A11)&lt;=COUNTIF('SL bán theo ngày'!$A$9:$A$82,"?*"),INDEX('SL bán theo ngày'!O$9:O$82,ROWS($A$11:$A11)),"")</f>
        <v/>
      </c>
      <c r="M11" s="49" t="str">
        <f t="array" aca="1" ref="M11" ca="1">IF(ROWS($A$11:$A11)&lt;=COUNTIF('SL bán theo ngày'!$A$9:$A$82,"?*"),INDEX('SL bán theo ngày'!P$9:P$82,ROWS($A$11:$A11)),"")</f>
        <v/>
      </c>
      <c r="N11" s="49" t="str">
        <f t="array" aca="1" ref="N11" ca="1">IF(ROWS($A$11:$A11)&lt;=COUNTIF('SL bán theo ngày'!$A$9:$A$82,"?*"),INDEX('SL bán theo ngày'!Q$9:Q$82,ROWS($A$11:$A11)),"")</f>
        <v/>
      </c>
      <c r="O11" s="49" t="str">
        <f t="array" aca="1" ref="O11" ca="1">IF(ROWS($A$11:$A11)&lt;=COUNTIF('SL bán theo ngày'!$A$9:$A$82,"?*"),INDEX('SL bán theo ngày'!R$9:R$82,ROWS($A$11:$A11)),"")</f>
        <v/>
      </c>
      <c r="P11" s="49" t="str">
        <f t="array" aca="1" ref="P11" ca="1">IF(ROWS($A$11:$A11)&lt;=COUNTIF('SL bán theo ngày'!$A$9:$A$82,"?*"),INDEX('SL bán theo ngày'!S$9:S$82,ROWS($A$11:$A11)),"")</f>
        <v/>
      </c>
      <c r="Q11" s="49" t="str">
        <f t="array" aca="1" ref="Q11" ca="1">IF(ROWS($A$11:$A11)&lt;=COUNTIF('SL bán theo ngày'!$A$9:$A$82,"?*"),INDEX('SL bán theo ngày'!T$9:T$82,ROWS($A$11:$A11)),"")</f>
        <v/>
      </c>
      <c r="R11" s="49" t="str">
        <f t="array" aca="1" ref="R11" ca="1">IF(ROWS($A$11:$A11)&lt;=COUNTIF('SL bán theo ngày'!$A$9:$A$82,"?*"),INDEX('SL bán theo ngày'!U$9:U$82,ROWS($A$11:$A11)),"")</f>
        <v/>
      </c>
      <c r="S11" s="49" t="str">
        <f t="array" aca="1" ref="S11" ca="1">IF(ROWS($A$11:$A11)&lt;=COUNTIF('SL bán theo ngày'!$A$9:$A$82,"?*"),INDEX('SL bán theo ngày'!V$9:V$82,ROWS($A$11:$A11)),"")</f>
        <v/>
      </c>
      <c r="T11" s="49" t="str">
        <f t="array" aca="1" ref="T11" ca="1">IF(ROWS($A$11:$A11)&lt;=COUNTIF('SL bán theo ngày'!$A$9:$A$82,"?*"),INDEX('SL bán theo ngày'!W$9:W$82,ROWS($A$11:$A11)),"")</f>
        <v/>
      </c>
      <c r="U11" s="49" t="str">
        <f t="array" aca="1" ref="U11" ca="1">IF(ROWS($A$11:$A11)&lt;=COUNTIF('SL bán theo ngày'!$A$9:$A$82,"?*"),INDEX('SL bán theo ngày'!X$9:X$82,ROWS($A$11:$A11)),"")</f>
        <v/>
      </c>
      <c r="V11" s="49" t="str">
        <f t="array" aca="1" ref="V11" ca="1">IF(ROWS($A$11:$A11)&lt;=COUNTIF('SL bán theo ngày'!$A$9:$A$82,"?*"),INDEX('SL bán theo ngày'!Y$9:Y$82,ROWS($A$11:$A11)),"")</f>
        <v/>
      </c>
      <c r="W11" s="49" t="str">
        <f t="array" aca="1" ref="W11" ca="1">IF(ROWS($A$11:$A11)&lt;=COUNTIF('SL bán theo ngày'!$A$9:$A$82,"?*"),INDEX('SL bán theo ngày'!Z$9:Z$82,ROWS($A$11:$A11)),"")</f>
        <v/>
      </c>
      <c r="X11" s="49" t="str">
        <f t="array" aca="1" ref="X11" ca="1">IF(ROWS($A$11:$A11)&lt;=COUNTIF('SL bán theo ngày'!$A$9:$A$82,"?*"),INDEX('SL bán theo ngày'!AA$9:AA$82,ROWS($A$11:$A11)),"")</f>
        <v/>
      </c>
      <c r="Y11" s="49" t="str">
        <f t="array" aca="1" ref="Y11" ca="1">IF(ROWS($A$11:$A11)&lt;=COUNTIF('SL bán theo ngày'!$A$9:$A$82,"?*"),INDEX('SL bán theo ngày'!AB$9:AB$82,ROWS($A$11:$A11)),"")</f>
        <v/>
      </c>
      <c r="Z11" s="49" t="str">
        <f t="array" aca="1" ref="Z11" ca="1">IF(ROWS($A$11:$A11)&lt;=COUNTIF('SL bán theo ngày'!$A$9:$A$82,"?*"),INDEX('SL bán theo ngày'!AC$9:AC$82,ROWS($A$11:$A11)),"")</f>
        <v/>
      </c>
      <c r="AA11" s="49" t="str">
        <f t="array" aca="1" ref="AA11" ca="1">IF(ROWS($A$11:$A11)&lt;=COUNTIF('SL bán theo ngày'!$A$9:$A$82,"?*"),INDEX('SL bán theo ngày'!AD$9:AD$82,ROWS($A$11:$A11)),"")</f>
        <v/>
      </c>
      <c r="AB11" s="49" t="str">
        <f t="array" aca="1" ref="AB11" ca="1">IF(ROWS($A$11:$A11)&lt;=COUNTIF('SL bán theo ngày'!$A$9:$A$82,"?*"),INDEX('SL bán theo ngày'!AE$9:AE$82,ROWS($A$11:$A11)),"")</f>
        <v/>
      </c>
      <c r="AC11" s="49" t="str">
        <f t="array" aca="1" ref="AC11" ca="1">IF(ROWS($A$11:$A11)&lt;=COUNTIF('SL bán theo ngày'!$A$9:$A$82,"?*"),INDEX('SL bán theo ngày'!AF$9:AF$82,ROWS($A$11:$A11)),"")</f>
        <v/>
      </c>
      <c r="AD11" s="49" t="str">
        <f t="array" aca="1" ref="AD11" ca="1">IF(ROWS($A$11:$A11)&lt;=COUNTIF('SL bán theo ngày'!$A$9:$A$82,"?*"),INDEX('SL bán theo ngày'!AG$9:AG$82,ROWS($A$11:$A11)),"")</f>
        <v/>
      </c>
      <c r="AE11" s="49" t="str">
        <f t="array" aca="1" ref="AE11" ca="1">IF(ROWS($A$11:$A11)&lt;=COUNTIF('SL bán theo ngày'!$A$9:$A$82,"?*"),INDEX('SL bán theo ngày'!AH$9:AH$82,ROWS($A$11:$A11)),"")</f>
        <v/>
      </c>
      <c r="AF11" s="49" t="str">
        <f t="array" aca="1" ref="AF11" ca="1">IF(ROWS($A$11:$A11)&lt;=COUNTIF('SL bán theo ngày'!$A$9:$A$82,"?*"),INDEX('SL bán theo ngày'!AI$9:AI$82,ROWS($A$11:$A11)),"")</f>
        <v/>
      </c>
      <c r="AG11" s="49" t="str">
        <f t="array" aca="1" ref="AG11" ca="1">IF(ROWS($A$11:$A11)&lt;=COUNTIF('SL bán theo ngày'!$A$9:$A$82,"?*"),INDEX('SL bán theo ngày'!C$9:C$82,ROWS($A$11:$A11)),"")</f>
        <v>kg</v>
      </c>
      <c r="AH11" s="74">
        <f t="array" aca="1" ref="AH11" ca="1">IF(ROWS($A$11:$A11)&lt;=COUNTIF('SL bán theo ngày'!$A$9:$A$82,"?*"),INDEX('SL bán theo ngày'!D$9:D$82,ROWS($A$11:$A11)),"")</f>
        <v>58850</v>
      </c>
      <c r="AI11" s="49">
        <f t="array" aca="1" ref="AI11" ca="1">IF(ROWS($A$11:$A11)&lt;=COUNTIF('SL bán theo ngày'!$A$9:$A$82,"?*"),INDEX('SL bán theo ngày'!E$9:E$82,ROWS($A$11:$A11)),"")</f>
        <v>4</v>
      </c>
      <c r="AJ11" s="49">
        <f t="array" aca="1" ref="AJ11" ca="1">IF(ROWS($A$11:$A11)&lt;=COUNTIF('SL bán theo ngày'!$A$9:$A$82,"?*"),INDEX('SL bán theo ngày'!AJ$9:AJ$82,ROWS($A$11:$A11)),"")</f>
        <v>4</v>
      </c>
      <c r="AK11" s="49">
        <f t="array" aca="1" ref="AK11" ca="1">IF(ROWS($A$11:$A11)&lt;=COUNTIF('SL bán theo ngày'!$A$9:$A$82,"?*"),INDEX('SL bán theo ngày'!AK$9:AK$82,ROWS($A$11:$A11)),"")</f>
        <v>0</v>
      </c>
    </row>
    <row r="12" spans="1:37" x14ac:dyDescent="0.25">
      <c r="A12" s="27" t="str">
        <f t="array" aca="1" ref="A12" ca="1">IF(ROWS($A$11:$A12)&lt;=COUNTIF('SL bán theo ngày'!$A$9:$A$82,"?*"),INDEX('SL bán theo ngày'!A$9:A$82,ROWS($A$11:$A12)),"")</f>
        <v>VP26_01</v>
      </c>
      <c r="B12" s="37" t="str">
        <f t="array" aca="1" ref="B12" ca="1">IF(ROWS($A$11:$A12)&lt;=COUNTIF('SL bán theo ngày'!$A$9:$A$82,"?*"),INDEX('SL bán theo ngày'!B$9:B$82,ROWS($A$11:$A12)),"")</f>
        <v>Nước T-REXX Oishi Túi 180ml (5 bịch/T)</v>
      </c>
      <c r="C12" s="48">
        <f t="array" aca="1" ref="C12" ca="1">IF(ROWS($A$11:$A12)&lt;=COUNTIF('SL bán theo ngày'!$A$9:$A$82,"?*"),INDEX('SL bán theo ngày'!F$9:F$82,ROWS($A$11:$A12)),"")</f>
        <v>5</v>
      </c>
      <c r="D12" s="49">
        <f t="array" aca="1" ref="D12" ca="1">IF(ROWS($A$11:$A12)&lt;=COUNTIF('SL bán theo ngày'!$A$9:$A$82,"?*"),INDEX('SL bán theo ngày'!G$9:G$82,ROWS($A$11:$A12)),"")</f>
        <v>5</v>
      </c>
      <c r="E12" s="49">
        <f t="array" aca="1" ref="E12" ca="1">IF(ROWS($A$11:$A12)&lt;=COUNTIF('SL bán theo ngày'!$A$9:$A$82,"?*"),INDEX('SL bán theo ngày'!H$9:H$82,ROWS($A$11:$A12)),"")</f>
        <v>5</v>
      </c>
      <c r="F12" s="49">
        <f t="array" aca="1" ref="F12" ca="1">IF(ROWS($A$11:$A12)&lt;=COUNTIF('SL bán theo ngày'!$A$9:$A$82,"?*"),INDEX('SL bán theo ngày'!I$9:I$82,ROWS($A$11:$A12)),"")</f>
        <v>5</v>
      </c>
      <c r="G12" s="49">
        <f t="array" aca="1" ref="G12" ca="1">IF(ROWS($A$11:$A12)&lt;=COUNTIF('SL bán theo ngày'!$A$9:$A$82,"?*"),INDEX('SL bán theo ngày'!J$9:J$82,ROWS($A$11:$A12)),"")</f>
        <v>5</v>
      </c>
      <c r="H12" s="49" t="str">
        <f t="array" aca="1" ref="H12" ca="1">IF(ROWS($A$11:$A12)&lt;=COUNTIF('SL bán theo ngày'!$A$9:$A$82,"?*"),INDEX('SL bán theo ngày'!K$9:K$82,ROWS($A$11:$A12)),"")</f>
        <v/>
      </c>
      <c r="I12" s="49" t="str">
        <f t="array" aca="1" ref="I12" ca="1">IF(ROWS($A$11:$A12)&lt;=COUNTIF('SL bán theo ngày'!$A$9:$A$82,"?*"),INDEX('SL bán theo ngày'!L$9:L$82,ROWS($A$11:$A12)),"")</f>
        <v/>
      </c>
      <c r="J12" s="49" t="str">
        <f t="array" aca="1" ref="J12" ca="1">IF(ROWS($A$11:$A12)&lt;=COUNTIF('SL bán theo ngày'!$A$9:$A$82,"?*"),INDEX('SL bán theo ngày'!M$9:M$82,ROWS($A$11:$A12)),"")</f>
        <v/>
      </c>
      <c r="K12" s="49" t="str">
        <f t="array" aca="1" ref="K12" ca="1">IF(ROWS($A$11:$A12)&lt;=COUNTIF('SL bán theo ngày'!$A$9:$A$82,"?*"),INDEX('SL bán theo ngày'!N$9:N$82,ROWS($A$11:$A12)),"")</f>
        <v/>
      </c>
      <c r="L12" s="49" t="str">
        <f t="array" aca="1" ref="L12" ca="1">IF(ROWS($A$11:$A12)&lt;=COUNTIF('SL bán theo ngày'!$A$9:$A$82,"?*"),INDEX('SL bán theo ngày'!O$9:O$82,ROWS($A$11:$A12)),"")</f>
        <v/>
      </c>
      <c r="M12" s="49" t="str">
        <f t="array" aca="1" ref="M12" ca="1">IF(ROWS($A$11:$A12)&lt;=COUNTIF('SL bán theo ngày'!$A$9:$A$82,"?*"),INDEX('SL bán theo ngày'!P$9:P$82,ROWS($A$11:$A12)),"")</f>
        <v/>
      </c>
      <c r="N12" s="49" t="str">
        <f t="array" aca="1" ref="N12" ca="1">IF(ROWS($A$11:$A12)&lt;=COUNTIF('SL bán theo ngày'!$A$9:$A$82,"?*"),INDEX('SL bán theo ngày'!Q$9:Q$82,ROWS($A$11:$A12)),"")</f>
        <v/>
      </c>
      <c r="O12" s="49" t="str">
        <f t="array" aca="1" ref="O12" ca="1">IF(ROWS($A$11:$A12)&lt;=COUNTIF('SL bán theo ngày'!$A$9:$A$82,"?*"),INDEX('SL bán theo ngày'!R$9:R$82,ROWS($A$11:$A12)),"")</f>
        <v/>
      </c>
      <c r="P12" s="49" t="str">
        <f t="array" aca="1" ref="P12" ca="1">IF(ROWS($A$11:$A12)&lt;=COUNTIF('SL bán theo ngày'!$A$9:$A$82,"?*"),INDEX('SL bán theo ngày'!S$9:S$82,ROWS($A$11:$A12)),"")</f>
        <v/>
      </c>
      <c r="Q12" s="49" t="str">
        <f t="array" aca="1" ref="Q12" ca="1">IF(ROWS($A$11:$A12)&lt;=COUNTIF('SL bán theo ngày'!$A$9:$A$82,"?*"),INDEX('SL bán theo ngày'!T$9:T$82,ROWS($A$11:$A12)),"")</f>
        <v/>
      </c>
      <c r="R12" s="49" t="str">
        <f t="array" aca="1" ref="R12" ca="1">IF(ROWS($A$11:$A12)&lt;=COUNTIF('SL bán theo ngày'!$A$9:$A$82,"?*"),INDEX('SL bán theo ngày'!U$9:U$82,ROWS($A$11:$A12)),"")</f>
        <v/>
      </c>
      <c r="S12" s="49" t="str">
        <f t="array" aca="1" ref="S12" ca="1">IF(ROWS($A$11:$A12)&lt;=COUNTIF('SL bán theo ngày'!$A$9:$A$82,"?*"),INDEX('SL bán theo ngày'!V$9:V$82,ROWS($A$11:$A12)),"")</f>
        <v/>
      </c>
      <c r="T12" s="49" t="str">
        <f t="array" aca="1" ref="T12" ca="1">IF(ROWS($A$11:$A12)&lt;=COUNTIF('SL bán theo ngày'!$A$9:$A$82,"?*"),INDEX('SL bán theo ngày'!W$9:W$82,ROWS($A$11:$A12)),"")</f>
        <v/>
      </c>
      <c r="U12" s="49" t="str">
        <f t="array" aca="1" ref="U12" ca="1">IF(ROWS($A$11:$A12)&lt;=COUNTIF('SL bán theo ngày'!$A$9:$A$82,"?*"),INDEX('SL bán theo ngày'!X$9:X$82,ROWS($A$11:$A12)),"")</f>
        <v/>
      </c>
      <c r="V12" s="49" t="str">
        <f t="array" aca="1" ref="V12" ca="1">IF(ROWS($A$11:$A12)&lt;=COUNTIF('SL bán theo ngày'!$A$9:$A$82,"?*"),INDEX('SL bán theo ngày'!Y$9:Y$82,ROWS($A$11:$A12)),"")</f>
        <v/>
      </c>
      <c r="W12" s="49" t="str">
        <f t="array" aca="1" ref="W12" ca="1">IF(ROWS($A$11:$A12)&lt;=COUNTIF('SL bán theo ngày'!$A$9:$A$82,"?*"),INDEX('SL bán theo ngày'!Z$9:Z$82,ROWS($A$11:$A12)),"")</f>
        <v/>
      </c>
      <c r="X12" s="49" t="str">
        <f t="array" aca="1" ref="X12" ca="1">IF(ROWS($A$11:$A12)&lt;=COUNTIF('SL bán theo ngày'!$A$9:$A$82,"?*"),INDEX('SL bán theo ngày'!AA$9:AA$82,ROWS($A$11:$A12)),"")</f>
        <v/>
      </c>
      <c r="Y12" s="49" t="str">
        <f t="array" aca="1" ref="Y12" ca="1">IF(ROWS($A$11:$A12)&lt;=COUNTIF('SL bán theo ngày'!$A$9:$A$82,"?*"),INDEX('SL bán theo ngày'!AB$9:AB$82,ROWS($A$11:$A12)),"")</f>
        <v/>
      </c>
      <c r="Z12" s="49" t="str">
        <f t="array" aca="1" ref="Z12" ca="1">IF(ROWS($A$11:$A12)&lt;=COUNTIF('SL bán theo ngày'!$A$9:$A$82,"?*"),INDEX('SL bán theo ngày'!AC$9:AC$82,ROWS($A$11:$A12)),"")</f>
        <v/>
      </c>
      <c r="AA12" s="49" t="str">
        <f t="array" aca="1" ref="AA12" ca="1">IF(ROWS($A$11:$A12)&lt;=COUNTIF('SL bán theo ngày'!$A$9:$A$82,"?*"),INDEX('SL bán theo ngày'!AD$9:AD$82,ROWS($A$11:$A12)),"")</f>
        <v/>
      </c>
      <c r="AB12" s="49" t="str">
        <f t="array" aca="1" ref="AB12" ca="1">IF(ROWS($A$11:$A12)&lt;=COUNTIF('SL bán theo ngày'!$A$9:$A$82,"?*"),INDEX('SL bán theo ngày'!AE$9:AE$82,ROWS($A$11:$A12)),"")</f>
        <v/>
      </c>
      <c r="AC12" s="49" t="str">
        <f t="array" aca="1" ref="AC12" ca="1">IF(ROWS($A$11:$A12)&lt;=COUNTIF('SL bán theo ngày'!$A$9:$A$82,"?*"),INDEX('SL bán theo ngày'!AF$9:AF$82,ROWS($A$11:$A12)),"")</f>
        <v/>
      </c>
      <c r="AD12" s="49" t="str">
        <f t="array" aca="1" ref="AD12" ca="1">IF(ROWS($A$11:$A12)&lt;=COUNTIF('SL bán theo ngày'!$A$9:$A$82,"?*"),INDEX('SL bán theo ngày'!AG$9:AG$82,ROWS($A$11:$A12)),"")</f>
        <v/>
      </c>
      <c r="AE12" s="49" t="str">
        <f t="array" aca="1" ref="AE12" ca="1">IF(ROWS($A$11:$A12)&lt;=COUNTIF('SL bán theo ngày'!$A$9:$A$82,"?*"),INDEX('SL bán theo ngày'!AH$9:AH$82,ROWS($A$11:$A12)),"")</f>
        <v/>
      </c>
      <c r="AF12" s="49" t="str">
        <f t="array" aca="1" ref="AF12" ca="1">IF(ROWS($A$11:$A12)&lt;=COUNTIF('SL bán theo ngày'!$A$9:$A$82,"?*"),INDEX('SL bán theo ngày'!AI$9:AI$82,ROWS($A$11:$A12)),"")</f>
        <v/>
      </c>
      <c r="AG12" s="49" t="str">
        <f t="array" aca="1" ref="AG12" ca="1">IF(ROWS($A$11:$A12)&lt;=COUNTIF('SL bán theo ngày'!$A$9:$A$82,"?*"),INDEX('SL bán theo ngày'!C$9:C$82,ROWS($A$11:$A12)),"")</f>
        <v>Bịch</v>
      </c>
      <c r="AH12" s="74">
        <f t="array" aca="1" ref="AH12" ca="1">IF(ROWS($A$11:$A12)&lt;=COUNTIF('SL bán theo ngày'!$A$9:$A$82,"?*"),INDEX('SL bán theo ngày'!D$9:D$82,ROWS($A$11:$A12)),"")</f>
        <v>28160</v>
      </c>
      <c r="AI12" s="49">
        <f t="array" aca="1" ref="AI12" ca="1">IF(ROWS($A$11:$A12)&lt;=COUNTIF('SL bán theo ngày'!$A$9:$A$82,"?*"),INDEX('SL bán theo ngày'!E$9:E$82,ROWS($A$11:$A12)),"")</f>
        <v>25</v>
      </c>
      <c r="AJ12" s="49">
        <f t="array" aca="1" ref="AJ12" ca="1">IF(ROWS($A$11:$A12)&lt;=COUNTIF('SL bán theo ngày'!$A$9:$A$82,"?*"),INDEX('SL bán theo ngày'!AJ$9:AJ$82,ROWS($A$11:$A12)),"")</f>
        <v>25</v>
      </c>
      <c r="AK12" s="49">
        <f t="array" aca="1" ref="AK12" ca="1">IF(ROWS($A$11:$A12)&lt;=COUNTIF('SL bán theo ngày'!$A$9:$A$82,"?*"),INDEX('SL bán theo ngày'!AK$9:AK$82,ROWS($A$11:$A12)),"")</f>
        <v>0</v>
      </c>
    </row>
    <row r="13" spans="1:37" x14ac:dyDescent="0.25">
      <c r="A13" s="27" t="str">
        <f t="array" aca="1" ref="A13" ca="1">IF(ROWS($A$11:$A13)&lt;=COUNTIF('SL bán theo ngày'!$A$9:$A$82,"?*"),INDEX('SL bán theo ngày'!A$9:A$82,ROWS($A$11:$A13)),"")</f>
        <v>VP26_02</v>
      </c>
      <c r="B13" s="37" t="str">
        <f t="array" aca="1" ref="B13" ca="1">IF(ROWS($A$11:$A13)&lt;=COUNTIF('SL bán theo ngày'!$A$9:$A$82,"?*"),INDEX('SL bán theo ngày'!B$9:B$82,ROWS($A$11:$A13)),"")</f>
        <v>Bánh snack Oishi 2K (10 bịch/bao)</v>
      </c>
      <c r="C13" s="48">
        <f t="array" aca="1" ref="C13" ca="1">IF(ROWS($A$11:$A13)&lt;=COUNTIF('SL bán theo ngày'!$A$9:$A$82,"?*"),INDEX('SL bán theo ngày'!F$9:F$82,ROWS($A$11:$A13)),"")</f>
        <v>53</v>
      </c>
      <c r="D13" s="49">
        <f t="array" aca="1" ref="D13" ca="1">IF(ROWS($A$11:$A13)&lt;=COUNTIF('SL bán theo ngày'!$A$9:$A$82,"?*"),INDEX('SL bán theo ngày'!G$9:G$82,ROWS($A$11:$A13)),"")</f>
        <v>53</v>
      </c>
      <c r="E13" s="49">
        <f t="array" aca="1" ref="E13" ca="1">IF(ROWS($A$11:$A13)&lt;=COUNTIF('SL bán theo ngày'!$A$9:$A$82,"?*"),INDEX('SL bán theo ngày'!H$9:H$82,ROWS($A$11:$A13)),"")</f>
        <v>53</v>
      </c>
      <c r="F13" s="49">
        <f t="array" aca="1" ref="F13" ca="1">IF(ROWS($A$11:$A13)&lt;=COUNTIF('SL bán theo ngày'!$A$9:$A$82,"?*"),INDEX('SL bán theo ngày'!I$9:I$82,ROWS($A$11:$A13)),"")</f>
        <v>53</v>
      </c>
      <c r="G13" s="49">
        <f t="array" aca="1" ref="G13" ca="1">IF(ROWS($A$11:$A13)&lt;=COUNTIF('SL bán theo ngày'!$A$9:$A$82,"?*"),INDEX('SL bán theo ngày'!J$9:J$82,ROWS($A$11:$A13)),"")</f>
        <v>53</v>
      </c>
      <c r="H13" s="49" t="str">
        <f t="array" aca="1" ref="H13" ca="1">IF(ROWS($A$11:$A13)&lt;=COUNTIF('SL bán theo ngày'!$A$9:$A$82,"?*"),INDEX('SL bán theo ngày'!K$9:K$82,ROWS($A$11:$A13)),"")</f>
        <v/>
      </c>
      <c r="I13" s="49" t="str">
        <f t="array" aca="1" ref="I13" ca="1">IF(ROWS($A$11:$A13)&lt;=COUNTIF('SL bán theo ngày'!$A$9:$A$82,"?*"),INDEX('SL bán theo ngày'!L$9:L$82,ROWS($A$11:$A13)),"")</f>
        <v/>
      </c>
      <c r="J13" s="49" t="str">
        <f t="array" aca="1" ref="J13" ca="1">IF(ROWS($A$11:$A13)&lt;=COUNTIF('SL bán theo ngày'!$A$9:$A$82,"?*"),INDEX('SL bán theo ngày'!M$9:M$82,ROWS($A$11:$A13)),"")</f>
        <v/>
      </c>
      <c r="K13" s="49" t="str">
        <f t="array" aca="1" ref="K13" ca="1">IF(ROWS($A$11:$A13)&lt;=COUNTIF('SL bán theo ngày'!$A$9:$A$82,"?*"),INDEX('SL bán theo ngày'!N$9:N$82,ROWS($A$11:$A13)),"")</f>
        <v/>
      </c>
      <c r="L13" s="49" t="str">
        <f t="array" aca="1" ref="L13" ca="1">IF(ROWS($A$11:$A13)&lt;=COUNTIF('SL bán theo ngày'!$A$9:$A$82,"?*"),INDEX('SL bán theo ngày'!O$9:O$82,ROWS($A$11:$A13)),"")</f>
        <v/>
      </c>
      <c r="M13" s="49" t="str">
        <f t="array" aca="1" ref="M13" ca="1">IF(ROWS($A$11:$A13)&lt;=COUNTIF('SL bán theo ngày'!$A$9:$A$82,"?*"),INDEX('SL bán theo ngày'!P$9:P$82,ROWS($A$11:$A13)),"")</f>
        <v/>
      </c>
      <c r="N13" s="49" t="str">
        <f t="array" aca="1" ref="N13" ca="1">IF(ROWS($A$11:$A13)&lt;=COUNTIF('SL bán theo ngày'!$A$9:$A$82,"?*"),INDEX('SL bán theo ngày'!Q$9:Q$82,ROWS($A$11:$A13)),"")</f>
        <v/>
      </c>
      <c r="O13" s="49" t="str">
        <f t="array" aca="1" ref="O13" ca="1">IF(ROWS($A$11:$A13)&lt;=COUNTIF('SL bán theo ngày'!$A$9:$A$82,"?*"),INDEX('SL bán theo ngày'!R$9:R$82,ROWS($A$11:$A13)),"")</f>
        <v/>
      </c>
      <c r="P13" s="49" t="str">
        <f t="array" aca="1" ref="P13" ca="1">IF(ROWS($A$11:$A13)&lt;=COUNTIF('SL bán theo ngày'!$A$9:$A$82,"?*"),INDEX('SL bán theo ngày'!S$9:S$82,ROWS($A$11:$A13)),"")</f>
        <v/>
      </c>
      <c r="Q13" s="49" t="str">
        <f t="array" aca="1" ref="Q13" ca="1">IF(ROWS($A$11:$A13)&lt;=COUNTIF('SL bán theo ngày'!$A$9:$A$82,"?*"),INDEX('SL bán theo ngày'!T$9:T$82,ROWS($A$11:$A13)),"")</f>
        <v/>
      </c>
      <c r="R13" s="49" t="str">
        <f t="array" aca="1" ref="R13" ca="1">IF(ROWS($A$11:$A13)&lt;=COUNTIF('SL bán theo ngày'!$A$9:$A$82,"?*"),INDEX('SL bán theo ngày'!U$9:U$82,ROWS($A$11:$A13)),"")</f>
        <v/>
      </c>
      <c r="S13" s="49" t="str">
        <f t="array" aca="1" ref="S13" ca="1">IF(ROWS($A$11:$A13)&lt;=COUNTIF('SL bán theo ngày'!$A$9:$A$82,"?*"),INDEX('SL bán theo ngày'!V$9:V$82,ROWS($A$11:$A13)),"")</f>
        <v/>
      </c>
      <c r="T13" s="49" t="str">
        <f t="array" aca="1" ref="T13" ca="1">IF(ROWS($A$11:$A13)&lt;=COUNTIF('SL bán theo ngày'!$A$9:$A$82,"?*"),INDEX('SL bán theo ngày'!W$9:W$82,ROWS($A$11:$A13)),"")</f>
        <v/>
      </c>
      <c r="U13" s="49" t="str">
        <f t="array" aca="1" ref="U13" ca="1">IF(ROWS($A$11:$A13)&lt;=COUNTIF('SL bán theo ngày'!$A$9:$A$82,"?*"),INDEX('SL bán theo ngày'!X$9:X$82,ROWS($A$11:$A13)),"")</f>
        <v/>
      </c>
      <c r="V13" s="49" t="str">
        <f t="array" aca="1" ref="V13" ca="1">IF(ROWS($A$11:$A13)&lt;=COUNTIF('SL bán theo ngày'!$A$9:$A$82,"?*"),INDEX('SL bán theo ngày'!Y$9:Y$82,ROWS($A$11:$A13)),"")</f>
        <v/>
      </c>
      <c r="W13" s="49" t="str">
        <f t="array" aca="1" ref="W13" ca="1">IF(ROWS($A$11:$A13)&lt;=COUNTIF('SL bán theo ngày'!$A$9:$A$82,"?*"),INDEX('SL bán theo ngày'!Z$9:Z$82,ROWS($A$11:$A13)),"")</f>
        <v/>
      </c>
      <c r="X13" s="49" t="str">
        <f t="array" aca="1" ref="X13" ca="1">IF(ROWS($A$11:$A13)&lt;=COUNTIF('SL bán theo ngày'!$A$9:$A$82,"?*"),INDEX('SL bán theo ngày'!AA$9:AA$82,ROWS($A$11:$A13)),"")</f>
        <v/>
      </c>
      <c r="Y13" s="49" t="str">
        <f t="array" aca="1" ref="Y13" ca="1">IF(ROWS($A$11:$A13)&lt;=COUNTIF('SL bán theo ngày'!$A$9:$A$82,"?*"),INDEX('SL bán theo ngày'!AB$9:AB$82,ROWS($A$11:$A13)),"")</f>
        <v/>
      </c>
      <c r="Z13" s="49" t="str">
        <f t="array" aca="1" ref="Z13" ca="1">IF(ROWS($A$11:$A13)&lt;=COUNTIF('SL bán theo ngày'!$A$9:$A$82,"?*"),INDEX('SL bán theo ngày'!AC$9:AC$82,ROWS($A$11:$A13)),"")</f>
        <v/>
      </c>
      <c r="AA13" s="49" t="str">
        <f t="array" aca="1" ref="AA13" ca="1">IF(ROWS($A$11:$A13)&lt;=COUNTIF('SL bán theo ngày'!$A$9:$A$82,"?*"),INDEX('SL bán theo ngày'!AD$9:AD$82,ROWS($A$11:$A13)),"")</f>
        <v/>
      </c>
      <c r="AB13" s="49" t="str">
        <f t="array" aca="1" ref="AB13" ca="1">IF(ROWS($A$11:$A13)&lt;=COUNTIF('SL bán theo ngày'!$A$9:$A$82,"?*"),INDEX('SL bán theo ngày'!AE$9:AE$82,ROWS($A$11:$A13)),"")</f>
        <v/>
      </c>
      <c r="AC13" s="49" t="str">
        <f t="array" aca="1" ref="AC13" ca="1">IF(ROWS($A$11:$A13)&lt;=COUNTIF('SL bán theo ngày'!$A$9:$A$82,"?*"),INDEX('SL bán theo ngày'!AF$9:AF$82,ROWS($A$11:$A13)),"")</f>
        <v/>
      </c>
      <c r="AD13" s="49" t="str">
        <f t="array" aca="1" ref="AD13" ca="1">IF(ROWS($A$11:$A13)&lt;=COUNTIF('SL bán theo ngày'!$A$9:$A$82,"?*"),INDEX('SL bán theo ngày'!AG$9:AG$82,ROWS($A$11:$A13)),"")</f>
        <v/>
      </c>
      <c r="AE13" s="49" t="str">
        <f t="array" aca="1" ref="AE13" ca="1">IF(ROWS($A$11:$A13)&lt;=COUNTIF('SL bán theo ngày'!$A$9:$A$82,"?*"),INDEX('SL bán theo ngày'!AH$9:AH$82,ROWS($A$11:$A13)),"")</f>
        <v/>
      </c>
      <c r="AF13" s="49" t="str">
        <f t="array" aca="1" ref="AF13" ca="1">IF(ROWS($A$11:$A13)&lt;=COUNTIF('SL bán theo ngày'!$A$9:$A$82,"?*"),INDEX('SL bán theo ngày'!AI$9:AI$82,ROWS($A$11:$A13)),"")</f>
        <v/>
      </c>
      <c r="AG13" s="49" t="str">
        <f t="array" aca="1" ref="AG13" ca="1">IF(ROWS($A$11:$A13)&lt;=COUNTIF('SL bán theo ngày'!$A$9:$A$82,"?*"),INDEX('SL bán theo ngày'!C$9:C$82,ROWS($A$11:$A13)),"")</f>
        <v>Bịch</v>
      </c>
      <c r="AH13" s="74">
        <f t="array" aca="1" ref="AH13" ca="1">IF(ROWS($A$11:$A13)&lt;=COUNTIF('SL bán theo ngày'!$A$9:$A$82,"?*"),INDEX('SL bán theo ngày'!D$9:D$82,ROWS($A$11:$A13)),"")</f>
        <v>15248</v>
      </c>
      <c r="AI13" s="49">
        <f t="array" aca="1" ref="AI13" ca="1">IF(ROWS($A$11:$A13)&lt;=COUNTIF('SL bán theo ngày'!$A$9:$A$82,"?*"),INDEX('SL bán theo ngày'!E$9:E$82,ROWS($A$11:$A13)),"")</f>
        <v>280</v>
      </c>
      <c r="AJ13" s="49">
        <f t="array" aca="1" ref="AJ13" ca="1">IF(ROWS($A$11:$A13)&lt;=COUNTIF('SL bán theo ngày'!$A$9:$A$82,"?*"),INDEX('SL bán theo ngày'!AJ$9:AJ$82,ROWS($A$11:$A13)),"")</f>
        <v>265</v>
      </c>
      <c r="AK13" s="49">
        <f t="array" aca="1" ref="AK13" ca="1">IF(ROWS($A$11:$A13)&lt;=COUNTIF('SL bán theo ngày'!$A$9:$A$82,"?*"),INDEX('SL bán theo ngày'!AK$9:AK$82,ROWS($A$11:$A13)),"")</f>
        <v>15</v>
      </c>
    </row>
    <row r="14" spans="1:37" x14ac:dyDescent="0.25">
      <c r="A14" s="27" t="str">
        <f t="array" aca="1" ref="A14" ca="1">IF(ROWS($A$11:$A14)&lt;=COUNTIF('SL bán theo ngày'!$A$9:$A$82,"?*"),INDEX('SL bán theo ngày'!A$9:A$82,ROWS($A$11:$A14)),"")</f>
        <v>VP26_10</v>
      </c>
      <c r="B14" s="37" t="str">
        <f t="array" aca="1" ref="B14" ca="1">IF(ROWS($A$11:$A14)&lt;=COUNTIF('SL bán theo ngày'!$A$9:$A$82,"?*"),INDEX('SL bán theo ngày'!B$9:B$82,ROWS($A$11:$A14)),"")</f>
        <v>Bánh snack Oishi 5K (8 bịch/bao)</v>
      </c>
      <c r="C14" s="48">
        <f t="array" aca="1" ref="C14" ca="1">IF(ROWS($A$11:$A14)&lt;=COUNTIF('SL bán theo ngày'!$A$9:$A$82,"?*"),INDEX('SL bán theo ngày'!F$9:F$82,ROWS($A$11:$A14)),"")</f>
        <v>1</v>
      </c>
      <c r="D14" s="49">
        <f t="array" aca="1" ref="D14" ca="1">IF(ROWS($A$11:$A14)&lt;=COUNTIF('SL bán theo ngày'!$A$9:$A$82,"?*"),INDEX('SL bán theo ngày'!G$9:G$82,ROWS($A$11:$A14)),"")</f>
        <v>2</v>
      </c>
      <c r="E14" s="49">
        <f t="array" aca="1" ref="E14" ca="1">IF(ROWS($A$11:$A14)&lt;=COUNTIF('SL bán theo ngày'!$A$9:$A$82,"?*"),INDEX('SL bán theo ngày'!H$9:H$82,ROWS($A$11:$A14)),"")</f>
        <v>1</v>
      </c>
      <c r="F14" s="49">
        <f t="array" aca="1" ref="F14" ca="1">IF(ROWS($A$11:$A14)&lt;=COUNTIF('SL bán theo ngày'!$A$9:$A$82,"?*"),INDEX('SL bán theo ngày'!I$9:I$82,ROWS($A$11:$A14)),"")</f>
        <v>2</v>
      </c>
      <c r="G14" s="49">
        <f t="array" aca="1" ref="G14" ca="1">IF(ROWS($A$11:$A14)&lt;=COUNTIF('SL bán theo ngày'!$A$9:$A$82,"?*"),INDEX('SL bán theo ngày'!J$9:J$82,ROWS($A$11:$A14)),"")</f>
        <v>1</v>
      </c>
      <c r="H14" s="49" t="str">
        <f t="array" aca="1" ref="H14" ca="1">IF(ROWS($A$11:$A14)&lt;=COUNTIF('SL bán theo ngày'!$A$9:$A$82,"?*"),INDEX('SL bán theo ngày'!K$9:K$82,ROWS($A$11:$A14)),"")</f>
        <v/>
      </c>
      <c r="I14" s="49" t="str">
        <f t="array" aca="1" ref="I14" ca="1">IF(ROWS($A$11:$A14)&lt;=COUNTIF('SL bán theo ngày'!$A$9:$A$82,"?*"),INDEX('SL bán theo ngày'!L$9:L$82,ROWS($A$11:$A14)),"")</f>
        <v/>
      </c>
      <c r="J14" s="49" t="str">
        <f t="array" aca="1" ref="J14" ca="1">IF(ROWS($A$11:$A14)&lt;=COUNTIF('SL bán theo ngày'!$A$9:$A$82,"?*"),INDEX('SL bán theo ngày'!M$9:M$82,ROWS($A$11:$A14)),"")</f>
        <v/>
      </c>
      <c r="K14" s="49" t="str">
        <f t="array" aca="1" ref="K14" ca="1">IF(ROWS($A$11:$A14)&lt;=COUNTIF('SL bán theo ngày'!$A$9:$A$82,"?*"),INDEX('SL bán theo ngày'!N$9:N$82,ROWS($A$11:$A14)),"")</f>
        <v/>
      </c>
      <c r="L14" s="49" t="str">
        <f t="array" aca="1" ref="L14" ca="1">IF(ROWS($A$11:$A14)&lt;=COUNTIF('SL bán theo ngày'!$A$9:$A$82,"?*"),INDEX('SL bán theo ngày'!O$9:O$82,ROWS($A$11:$A14)),"")</f>
        <v/>
      </c>
      <c r="M14" s="49" t="str">
        <f t="array" aca="1" ref="M14" ca="1">IF(ROWS($A$11:$A14)&lt;=COUNTIF('SL bán theo ngày'!$A$9:$A$82,"?*"),INDEX('SL bán theo ngày'!P$9:P$82,ROWS($A$11:$A14)),"")</f>
        <v/>
      </c>
      <c r="N14" s="49" t="str">
        <f t="array" aca="1" ref="N14" ca="1">IF(ROWS($A$11:$A14)&lt;=COUNTIF('SL bán theo ngày'!$A$9:$A$82,"?*"),INDEX('SL bán theo ngày'!Q$9:Q$82,ROWS($A$11:$A14)),"")</f>
        <v/>
      </c>
      <c r="O14" s="49" t="str">
        <f t="array" aca="1" ref="O14" ca="1">IF(ROWS($A$11:$A14)&lt;=COUNTIF('SL bán theo ngày'!$A$9:$A$82,"?*"),INDEX('SL bán theo ngày'!R$9:R$82,ROWS($A$11:$A14)),"")</f>
        <v/>
      </c>
      <c r="P14" s="49" t="str">
        <f t="array" aca="1" ref="P14" ca="1">IF(ROWS($A$11:$A14)&lt;=COUNTIF('SL bán theo ngày'!$A$9:$A$82,"?*"),INDEX('SL bán theo ngày'!S$9:S$82,ROWS($A$11:$A14)),"")</f>
        <v/>
      </c>
      <c r="Q14" s="49" t="str">
        <f t="array" aca="1" ref="Q14" ca="1">IF(ROWS($A$11:$A14)&lt;=COUNTIF('SL bán theo ngày'!$A$9:$A$82,"?*"),INDEX('SL bán theo ngày'!T$9:T$82,ROWS($A$11:$A14)),"")</f>
        <v/>
      </c>
      <c r="R14" s="49" t="str">
        <f t="array" aca="1" ref="R14" ca="1">IF(ROWS($A$11:$A14)&lt;=COUNTIF('SL bán theo ngày'!$A$9:$A$82,"?*"),INDEX('SL bán theo ngày'!U$9:U$82,ROWS($A$11:$A14)),"")</f>
        <v/>
      </c>
      <c r="S14" s="49" t="str">
        <f t="array" aca="1" ref="S14" ca="1">IF(ROWS($A$11:$A14)&lt;=COUNTIF('SL bán theo ngày'!$A$9:$A$82,"?*"),INDEX('SL bán theo ngày'!V$9:V$82,ROWS($A$11:$A14)),"")</f>
        <v/>
      </c>
      <c r="T14" s="49" t="str">
        <f t="array" aca="1" ref="T14" ca="1">IF(ROWS($A$11:$A14)&lt;=COUNTIF('SL bán theo ngày'!$A$9:$A$82,"?*"),INDEX('SL bán theo ngày'!W$9:W$82,ROWS($A$11:$A14)),"")</f>
        <v/>
      </c>
      <c r="U14" s="49" t="str">
        <f t="array" aca="1" ref="U14" ca="1">IF(ROWS($A$11:$A14)&lt;=COUNTIF('SL bán theo ngày'!$A$9:$A$82,"?*"),INDEX('SL bán theo ngày'!X$9:X$82,ROWS($A$11:$A14)),"")</f>
        <v/>
      </c>
      <c r="V14" s="49" t="str">
        <f t="array" aca="1" ref="V14" ca="1">IF(ROWS($A$11:$A14)&lt;=COUNTIF('SL bán theo ngày'!$A$9:$A$82,"?*"),INDEX('SL bán theo ngày'!Y$9:Y$82,ROWS($A$11:$A14)),"")</f>
        <v/>
      </c>
      <c r="W14" s="49" t="str">
        <f t="array" aca="1" ref="W14" ca="1">IF(ROWS($A$11:$A14)&lt;=COUNTIF('SL bán theo ngày'!$A$9:$A$82,"?*"),INDEX('SL bán theo ngày'!Z$9:Z$82,ROWS($A$11:$A14)),"")</f>
        <v/>
      </c>
      <c r="X14" s="49" t="str">
        <f t="array" aca="1" ref="X14" ca="1">IF(ROWS($A$11:$A14)&lt;=COUNTIF('SL bán theo ngày'!$A$9:$A$82,"?*"),INDEX('SL bán theo ngày'!AA$9:AA$82,ROWS($A$11:$A14)),"")</f>
        <v/>
      </c>
      <c r="Y14" s="49" t="str">
        <f t="array" aca="1" ref="Y14" ca="1">IF(ROWS($A$11:$A14)&lt;=COUNTIF('SL bán theo ngày'!$A$9:$A$82,"?*"),INDEX('SL bán theo ngày'!AB$9:AB$82,ROWS($A$11:$A14)),"")</f>
        <v/>
      </c>
      <c r="Z14" s="49" t="str">
        <f t="array" aca="1" ref="Z14" ca="1">IF(ROWS($A$11:$A14)&lt;=COUNTIF('SL bán theo ngày'!$A$9:$A$82,"?*"),INDEX('SL bán theo ngày'!AC$9:AC$82,ROWS($A$11:$A14)),"")</f>
        <v/>
      </c>
      <c r="AA14" s="49" t="str">
        <f t="array" aca="1" ref="AA14" ca="1">IF(ROWS($A$11:$A14)&lt;=COUNTIF('SL bán theo ngày'!$A$9:$A$82,"?*"),INDEX('SL bán theo ngày'!AD$9:AD$82,ROWS($A$11:$A14)),"")</f>
        <v/>
      </c>
      <c r="AB14" s="49" t="str">
        <f t="array" aca="1" ref="AB14" ca="1">IF(ROWS($A$11:$A14)&lt;=COUNTIF('SL bán theo ngày'!$A$9:$A$82,"?*"),INDEX('SL bán theo ngày'!AE$9:AE$82,ROWS($A$11:$A14)),"")</f>
        <v/>
      </c>
      <c r="AC14" s="49" t="str">
        <f t="array" aca="1" ref="AC14" ca="1">IF(ROWS($A$11:$A14)&lt;=COUNTIF('SL bán theo ngày'!$A$9:$A$82,"?*"),INDEX('SL bán theo ngày'!AF$9:AF$82,ROWS($A$11:$A14)),"")</f>
        <v/>
      </c>
      <c r="AD14" s="49" t="str">
        <f t="array" aca="1" ref="AD14" ca="1">IF(ROWS($A$11:$A14)&lt;=COUNTIF('SL bán theo ngày'!$A$9:$A$82,"?*"),INDEX('SL bán theo ngày'!AG$9:AG$82,ROWS($A$11:$A14)),"")</f>
        <v/>
      </c>
      <c r="AE14" s="49" t="str">
        <f t="array" aca="1" ref="AE14" ca="1">IF(ROWS($A$11:$A14)&lt;=COUNTIF('SL bán theo ngày'!$A$9:$A$82,"?*"),INDEX('SL bán theo ngày'!AH$9:AH$82,ROWS($A$11:$A14)),"")</f>
        <v/>
      </c>
      <c r="AF14" s="49" t="str">
        <f t="array" aca="1" ref="AF14" ca="1">IF(ROWS($A$11:$A14)&lt;=COUNTIF('SL bán theo ngày'!$A$9:$A$82,"?*"),INDEX('SL bán theo ngày'!AI$9:AI$82,ROWS($A$11:$A14)),"")</f>
        <v/>
      </c>
      <c r="AG14" s="49" t="str">
        <f t="array" aca="1" ref="AG14" ca="1">IF(ROWS($A$11:$A14)&lt;=COUNTIF('SL bán theo ngày'!$A$9:$A$82,"?*"),INDEX('SL bán theo ngày'!C$9:C$82,ROWS($A$11:$A14)),"")</f>
        <v>Bịch</v>
      </c>
      <c r="AH14" s="74">
        <f t="array" aca="1" ref="AH14" ca="1">IF(ROWS($A$11:$A14)&lt;=COUNTIF('SL bán theo ngày'!$A$9:$A$82,"?*"),INDEX('SL bán theo ngày'!D$9:D$82,ROWS($A$11:$A14)),"")</f>
        <v>38500</v>
      </c>
      <c r="AI14" s="49">
        <f t="array" aca="1" ref="AI14" ca="1">IF(ROWS($A$11:$A14)&lt;=COUNTIF('SL bán theo ngày'!$A$9:$A$82,"?*"),INDEX('SL bán theo ngày'!E$9:E$82,ROWS($A$11:$A14)),"")</f>
        <v>8</v>
      </c>
      <c r="AJ14" s="49">
        <f t="array" aca="1" ref="AJ14" ca="1">IF(ROWS($A$11:$A14)&lt;=COUNTIF('SL bán theo ngày'!$A$9:$A$82,"?*"),INDEX('SL bán theo ngày'!AJ$9:AJ$82,ROWS($A$11:$A14)),"")</f>
        <v>7</v>
      </c>
      <c r="AK14" s="49">
        <f t="array" aca="1" ref="AK14" ca="1">IF(ROWS($A$11:$A14)&lt;=COUNTIF('SL bán theo ngày'!$A$9:$A$82,"?*"),INDEX('SL bán theo ngày'!AK$9:AK$82,ROWS($A$11:$A14)),"")</f>
        <v>1</v>
      </c>
    </row>
    <row r="15" spans="1:37" x14ac:dyDescent="0.25">
      <c r="A15" s="27" t="str">
        <f t="array" aca="1" ref="A15" ca="1">IF(ROWS($A$11:$A15)&lt;=COUNTIF('SL bán theo ngày'!$A$9:$A$82,"?*"),INDEX('SL bán theo ngày'!A$9:A$82,ROWS($A$11:$A15)),"")</f>
        <v>VP26_13</v>
      </c>
      <c r="B15" s="37" t="str">
        <f t="array" aca="1" ref="B15" ca="1">IF(ROWS($A$11:$A15)&lt;=COUNTIF('SL bán theo ngày'!$A$9:$A$82,"?*"),INDEX('SL bán theo ngày'!B$9:B$82,ROWS($A$11:$A15)),"")</f>
        <v>Bánh Chấm 330g PC (12 cái)</v>
      </c>
      <c r="C15" s="48">
        <f t="array" aca="1" ref="C15" ca="1">IF(ROWS($A$11:$A15)&lt;=COUNTIF('SL bán theo ngày'!$A$9:$A$82,"?*"),INDEX('SL bán theo ngày'!F$9:F$82,ROWS($A$11:$A15)),"")</f>
        <v>23</v>
      </c>
      <c r="D15" s="49">
        <f t="array" aca="1" ref="D15" ca="1">IF(ROWS($A$11:$A15)&lt;=COUNTIF('SL bán theo ngày'!$A$9:$A$82,"?*"),INDEX('SL bán theo ngày'!G$9:G$82,ROWS($A$11:$A15)),"")</f>
        <v>22</v>
      </c>
      <c r="E15" s="49">
        <f t="array" aca="1" ref="E15" ca="1">IF(ROWS($A$11:$A15)&lt;=COUNTIF('SL bán theo ngày'!$A$9:$A$82,"?*"),INDEX('SL bán theo ngày'!H$9:H$82,ROWS($A$11:$A15)),"")</f>
        <v>22</v>
      </c>
      <c r="F15" s="49">
        <f t="array" aca="1" ref="F15" ca="1">IF(ROWS($A$11:$A15)&lt;=COUNTIF('SL bán theo ngày'!$A$9:$A$82,"?*"),INDEX('SL bán theo ngày'!I$9:I$82,ROWS($A$11:$A15)),"")</f>
        <v>23</v>
      </c>
      <c r="G15" s="49">
        <f t="array" aca="1" ref="G15" ca="1">IF(ROWS($A$11:$A15)&lt;=COUNTIF('SL bán theo ngày'!$A$9:$A$82,"?*"),INDEX('SL bán theo ngày'!J$9:J$82,ROWS($A$11:$A15)),"")</f>
        <v>22</v>
      </c>
      <c r="H15" s="49" t="str">
        <f t="array" aca="1" ref="H15" ca="1">IF(ROWS($A$11:$A15)&lt;=COUNTIF('SL bán theo ngày'!$A$9:$A$82,"?*"),INDEX('SL bán theo ngày'!K$9:K$82,ROWS($A$11:$A15)),"")</f>
        <v/>
      </c>
      <c r="I15" s="49" t="str">
        <f t="array" aca="1" ref="I15" ca="1">IF(ROWS($A$11:$A15)&lt;=COUNTIF('SL bán theo ngày'!$A$9:$A$82,"?*"),INDEX('SL bán theo ngày'!L$9:L$82,ROWS($A$11:$A15)),"")</f>
        <v/>
      </c>
      <c r="J15" s="49" t="str">
        <f t="array" aca="1" ref="J15" ca="1">IF(ROWS($A$11:$A15)&lt;=COUNTIF('SL bán theo ngày'!$A$9:$A$82,"?*"),INDEX('SL bán theo ngày'!M$9:M$82,ROWS($A$11:$A15)),"")</f>
        <v/>
      </c>
      <c r="K15" s="49" t="str">
        <f t="array" aca="1" ref="K15" ca="1">IF(ROWS($A$11:$A15)&lt;=COUNTIF('SL bán theo ngày'!$A$9:$A$82,"?*"),INDEX('SL bán theo ngày'!N$9:N$82,ROWS($A$11:$A15)),"")</f>
        <v/>
      </c>
      <c r="L15" s="49" t="str">
        <f t="array" aca="1" ref="L15" ca="1">IF(ROWS($A$11:$A15)&lt;=COUNTIF('SL bán theo ngày'!$A$9:$A$82,"?*"),INDEX('SL bán theo ngày'!O$9:O$82,ROWS($A$11:$A15)),"")</f>
        <v/>
      </c>
      <c r="M15" s="49" t="str">
        <f t="array" aca="1" ref="M15" ca="1">IF(ROWS($A$11:$A15)&lt;=COUNTIF('SL bán theo ngày'!$A$9:$A$82,"?*"),INDEX('SL bán theo ngày'!P$9:P$82,ROWS($A$11:$A15)),"")</f>
        <v/>
      </c>
      <c r="N15" s="49" t="str">
        <f t="array" aca="1" ref="N15" ca="1">IF(ROWS($A$11:$A15)&lt;=COUNTIF('SL bán theo ngày'!$A$9:$A$82,"?*"),INDEX('SL bán theo ngày'!Q$9:Q$82,ROWS($A$11:$A15)),"")</f>
        <v/>
      </c>
      <c r="O15" s="49" t="str">
        <f t="array" aca="1" ref="O15" ca="1">IF(ROWS($A$11:$A15)&lt;=COUNTIF('SL bán theo ngày'!$A$9:$A$82,"?*"),INDEX('SL bán theo ngày'!R$9:R$82,ROWS($A$11:$A15)),"")</f>
        <v/>
      </c>
      <c r="P15" s="49" t="str">
        <f t="array" aca="1" ref="P15" ca="1">IF(ROWS($A$11:$A15)&lt;=COUNTIF('SL bán theo ngày'!$A$9:$A$82,"?*"),INDEX('SL bán theo ngày'!S$9:S$82,ROWS($A$11:$A15)),"")</f>
        <v/>
      </c>
      <c r="Q15" s="49" t="str">
        <f t="array" aca="1" ref="Q15" ca="1">IF(ROWS($A$11:$A15)&lt;=COUNTIF('SL bán theo ngày'!$A$9:$A$82,"?*"),INDEX('SL bán theo ngày'!T$9:T$82,ROWS($A$11:$A15)),"")</f>
        <v/>
      </c>
      <c r="R15" s="49" t="str">
        <f t="array" aca="1" ref="R15" ca="1">IF(ROWS($A$11:$A15)&lt;=COUNTIF('SL bán theo ngày'!$A$9:$A$82,"?*"),INDEX('SL bán theo ngày'!U$9:U$82,ROWS($A$11:$A15)),"")</f>
        <v/>
      </c>
      <c r="S15" s="49" t="str">
        <f t="array" aca="1" ref="S15" ca="1">IF(ROWS($A$11:$A15)&lt;=COUNTIF('SL bán theo ngày'!$A$9:$A$82,"?*"),INDEX('SL bán theo ngày'!V$9:V$82,ROWS($A$11:$A15)),"")</f>
        <v/>
      </c>
      <c r="T15" s="49" t="str">
        <f t="array" aca="1" ref="T15" ca="1">IF(ROWS($A$11:$A15)&lt;=COUNTIF('SL bán theo ngày'!$A$9:$A$82,"?*"),INDEX('SL bán theo ngày'!W$9:W$82,ROWS($A$11:$A15)),"")</f>
        <v/>
      </c>
      <c r="U15" s="49" t="str">
        <f t="array" aca="1" ref="U15" ca="1">IF(ROWS($A$11:$A15)&lt;=COUNTIF('SL bán theo ngày'!$A$9:$A$82,"?*"),INDEX('SL bán theo ngày'!X$9:X$82,ROWS($A$11:$A15)),"")</f>
        <v/>
      </c>
      <c r="V15" s="49" t="str">
        <f t="array" aca="1" ref="V15" ca="1">IF(ROWS($A$11:$A15)&lt;=COUNTIF('SL bán theo ngày'!$A$9:$A$82,"?*"),INDEX('SL bán theo ngày'!Y$9:Y$82,ROWS($A$11:$A15)),"")</f>
        <v/>
      </c>
      <c r="W15" s="49" t="str">
        <f t="array" aca="1" ref="W15" ca="1">IF(ROWS($A$11:$A15)&lt;=COUNTIF('SL bán theo ngày'!$A$9:$A$82,"?*"),INDEX('SL bán theo ngày'!Z$9:Z$82,ROWS($A$11:$A15)),"")</f>
        <v/>
      </c>
      <c r="X15" s="49" t="str">
        <f t="array" aca="1" ref="X15" ca="1">IF(ROWS($A$11:$A15)&lt;=COUNTIF('SL bán theo ngày'!$A$9:$A$82,"?*"),INDEX('SL bán theo ngày'!AA$9:AA$82,ROWS($A$11:$A15)),"")</f>
        <v/>
      </c>
      <c r="Y15" s="49" t="str">
        <f t="array" aca="1" ref="Y15" ca="1">IF(ROWS($A$11:$A15)&lt;=COUNTIF('SL bán theo ngày'!$A$9:$A$82,"?*"),INDEX('SL bán theo ngày'!AB$9:AB$82,ROWS($A$11:$A15)),"")</f>
        <v/>
      </c>
      <c r="Z15" s="49" t="str">
        <f t="array" aca="1" ref="Z15" ca="1">IF(ROWS($A$11:$A15)&lt;=COUNTIF('SL bán theo ngày'!$A$9:$A$82,"?*"),INDEX('SL bán theo ngày'!AC$9:AC$82,ROWS($A$11:$A15)),"")</f>
        <v/>
      </c>
      <c r="AA15" s="49" t="str">
        <f t="array" aca="1" ref="AA15" ca="1">IF(ROWS($A$11:$A15)&lt;=COUNTIF('SL bán theo ngày'!$A$9:$A$82,"?*"),INDEX('SL bán theo ngày'!AD$9:AD$82,ROWS($A$11:$A15)),"")</f>
        <v/>
      </c>
      <c r="AB15" s="49" t="str">
        <f t="array" aca="1" ref="AB15" ca="1">IF(ROWS($A$11:$A15)&lt;=COUNTIF('SL bán theo ngày'!$A$9:$A$82,"?*"),INDEX('SL bán theo ngày'!AE$9:AE$82,ROWS($A$11:$A15)),"")</f>
        <v/>
      </c>
      <c r="AC15" s="49" t="str">
        <f t="array" aca="1" ref="AC15" ca="1">IF(ROWS($A$11:$A15)&lt;=COUNTIF('SL bán theo ngày'!$A$9:$A$82,"?*"),INDEX('SL bán theo ngày'!AF$9:AF$82,ROWS($A$11:$A15)),"")</f>
        <v/>
      </c>
      <c r="AD15" s="49" t="str">
        <f t="array" aca="1" ref="AD15" ca="1">IF(ROWS($A$11:$A15)&lt;=COUNTIF('SL bán theo ngày'!$A$9:$A$82,"?*"),INDEX('SL bán theo ngày'!AG$9:AG$82,ROWS($A$11:$A15)),"")</f>
        <v/>
      </c>
      <c r="AE15" s="49" t="str">
        <f t="array" aca="1" ref="AE15" ca="1">IF(ROWS($A$11:$A15)&lt;=COUNTIF('SL bán theo ngày'!$A$9:$A$82,"?*"),INDEX('SL bán theo ngày'!AH$9:AH$82,ROWS($A$11:$A15)),"")</f>
        <v/>
      </c>
      <c r="AF15" s="49" t="str">
        <f t="array" aca="1" ref="AF15" ca="1">IF(ROWS($A$11:$A15)&lt;=COUNTIF('SL bán theo ngày'!$A$9:$A$82,"?*"),INDEX('SL bán theo ngày'!AI$9:AI$82,ROWS($A$11:$A15)),"")</f>
        <v/>
      </c>
      <c r="AG15" s="49" t="str">
        <f t="array" aca="1" ref="AG15" ca="1">IF(ROWS($A$11:$A15)&lt;=COUNTIF('SL bán theo ngày'!$A$9:$A$82,"?*"),INDEX('SL bán theo ngày'!C$9:C$82,ROWS($A$11:$A15)),"")</f>
        <v>Cái</v>
      </c>
      <c r="AH15" s="74">
        <f t="array" aca="1" ref="AH15" ca="1">IF(ROWS($A$11:$A15)&lt;=COUNTIF('SL bán theo ngày'!$A$9:$A$82,"?*"),INDEX('SL bán theo ngày'!D$9:D$82,ROWS($A$11:$A15)),"")</f>
        <v>2383</v>
      </c>
      <c r="AI15" s="49">
        <f t="array" aca="1" ref="AI15" ca="1">IF(ROWS($A$11:$A15)&lt;=COUNTIF('SL bán theo ngày'!$A$9:$A$82,"?*"),INDEX('SL bán theo ngày'!E$9:E$82,ROWS($A$11:$A15)),"")</f>
        <v>120</v>
      </c>
      <c r="AJ15" s="49">
        <f t="array" aca="1" ref="AJ15" ca="1">IF(ROWS($A$11:$A15)&lt;=COUNTIF('SL bán theo ngày'!$A$9:$A$82,"?*"),INDEX('SL bán theo ngày'!AJ$9:AJ$82,ROWS($A$11:$A15)),"")</f>
        <v>112</v>
      </c>
      <c r="AK15" s="49">
        <f t="array" aca="1" ref="AK15" ca="1">IF(ROWS($A$11:$A15)&lt;=COUNTIF('SL bán theo ngày'!$A$9:$A$82,"?*"),INDEX('SL bán theo ngày'!AK$9:AK$82,ROWS($A$11:$A15)),"")</f>
        <v>8</v>
      </c>
    </row>
    <row r="16" spans="1:37" x14ac:dyDescent="0.25">
      <c r="A16" s="27" t="str">
        <f t="array" aca="1" ref="A16" ca="1">IF(ROWS($A$11:$A16)&lt;=COUNTIF('SL bán theo ngày'!$A$9:$A$82,"?*"),INDEX('SL bán theo ngày'!A$9:A$82,ROWS($A$11:$A16)),"")</f>
        <v>VP26_32</v>
      </c>
      <c r="B16" s="37" t="str">
        <f t="array" aca="1" ref="B16" ca="1">IF(ROWS($A$11:$A16)&lt;=COUNTIF('SL bán theo ngày'!$A$9:$A$82,"?*"),INDEX('SL bán theo ngày'!B$9:B$82,ROWS($A$11:$A16)),"")</f>
        <v>Thạch miếng nhỏ Suso LƯỚI 800g (62 cái)</v>
      </c>
      <c r="C16" s="48">
        <f t="array" aca="1" ref="C16" ca="1">IF(ROWS($A$11:$A16)&lt;=COUNTIF('SL bán theo ngày'!$A$9:$A$82,"?*"),INDEX('SL bán theo ngày'!F$9:F$82,ROWS($A$11:$A16)),"")</f>
        <v>71</v>
      </c>
      <c r="D16" s="49">
        <f t="array" aca="1" ref="D16" ca="1">IF(ROWS($A$11:$A16)&lt;=COUNTIF('SL bán theo ngày'!$A$9:$A$82,"?*"),INDEX('SL bán theo ngày'!G$9:G$82,ROWS($A$11:$A16)),"")</f>
        <v>70</v>
      </c>
      <c r="E16" s="49">
        <f t="array" aca="1" ref="E16" ca="1">IF(ROWS($A$11:$A16)&lt;=COUNTIF('SL bán theo ngày'!$A$9:$A$82,"?*"),INDEX('SL bán theo ngày'!H$9:H$82,ROWS($A$11:$A16)),"")</f>
        <v>70</v>
      </c>
      <c r="F16" s="49">
        <f t="array" aca="1" ref="F16" ca="1">IF(ROWS($A$11:$A16)&lt;=COUNTIF('SL bán theo ngày'!$A$9:$A$82,"?*"),INDEX('SL bán theo ngày'!I$9:I$82,ROWS($A$11:$A16)),"")</f>
        <v>70</v>
      </c>
      <c r="G16" s="49">
        <f t="array" aca="1" ref="G16" ca="1">IF(ROWS($A$11:$A16)&lt;=COUNTIF('SL bán theo ngày'!$A$9:$A$82,"?*"),INDEX('SL bán theo ngày'!J$9:J$82,ROWS($A$11:$A16)),"")</f>
        <v>70</v>
      </c>
      <c r="H16" s="49" t="str">
        <f t="array" aca="1" ref="H16" ca="1">IF(ROWS($A$11:$A16)&lt;=COUNTIF('SL bán theo ngày'!$A$9:$A$82,"?*"),INDEX('SL bán theo ngày'!K$9:K$82,ROWS($A$11:$A16)),"")</f>
        <v/>
      </c>
      <c r="I16" s="49" t="str">
        <f t="array" aca="1" ref="I16" ca="1">IF(ROWS($A$11:$A16)&lt;=COUNTIF('SL bán theo ngày'!$A$9:$A$82,"?*"),INDEX('SL bán theo ngày'!L$9:L$82,ROWS($A$11:$A16)),"")</f>
        <v/>
      </c>
      <c r="J16" s="49" t="str">
        <f t="array" aca="1" ref="J16" ca="1">IF(ROWS($A$11:$A16)&lt;=COUNTIF('SL bán theo ngày'!$A$9:$A$82,"?*"),INDEX('SL bán theo ngày'!M$9:M$82,ROWS($A$11:$A16)),"")</f>
        <v/>
      </c>
      <c r="K16" s="49" t="str">
        <f t="array" aca="1" ref="K16" ca="1">IF(ROWS($A$11:$A16)&lt;=COUNTIF('SL bán theo ngày'!$A$9:$A$82,"?*"),INDEX('SL bán theo ngày'!N$9:N$82,ROWS($A$11:$A16)),"")</f>
        <v/>
      </c>
      <c r="L16" s="49" t="str">
        <f t="array" aca="1" ref="L16" ca="1">IF(ROWS($A$11:$A16)&lt;=COUNTIF('SL bán theo ngày'!$A$9:$A$82,"?*"),INDEX('SL bán theo ngày'!O$9:O$82,ROWS($A$11:$A16)),"")</f>
        <v/>
      </c>
      <c r="M16" s="49" t="str">
        <f t="array" aca="1" ref="M16" ca="1">IF(ROWS($A$11:$A16)&lt;=COUNTIF('SL bán theo ngày'!$A$9:$A$82,"?*"),INDEX('SL bán theo ngày'!P$9:P$82,ROWS($A$11:$A16)),"")</f>
        <v/>
      </c>
      <c r="N16" s="49" t="str">
        <f t="array" aca="1" ref="N16" ca="1">IF(ROWS($A$11:$A16)&lt;=COUNTIF('SL bán theo ngày'!$A$9:$A$82,"?*"),INDEX('SL bán theo ngày'!Q$9:Q$82,ROWS($A$11:$A16)),"")</f>
        <v/>
      </c>
      <c r="O16" s="49" t="str">
        <f t="array" aca="1" ref="O16" ca="1">IF(ROWS($A$11:$A16)&lt;=COUNTIF('SL bán theo ngày'!$A$9:$A$82,"?*"),INDEX('SL bán theo ngày'!R$9:R$82,ROWS($A$11:$A16)),"")</f>
        <v/>
      </c>
      <c r="P16" s="49" t="str">
        <f t="array" aca="1" ref="P16" ca="1">IF(ROWS($A$11:$A16)&lt;=COUNTIF('SL bán theo ngày'!$A$9:$A$82,"?*"),INDEX('SL bán theo ngày'!S$9:S$82,ROWS($A$11:$A16)),"")</f>
        <v/>
      </c>
      <c r="Q16" s="49" t="str">
        <f t="array" aca="1" ref="Q16" ca="1">IF(ROWS($A$11:$A16)&lt;=COUNTIF('SL bán theo ngày'!$A$9:$A$82,"?*"),INDEX('SL bán theo ngày'!T$9:T$82,ROWS($A$11:$A16)),"")</f>
        <v/>
      </c>
      <c r="R16" s="49" t="str">
        <f t="array" aca="1" ref="R16" ca="1">IF(ROWS($A$11:$A16)&lt;=COUNTIF('SL bán theo ngày'!$A$9:$A$82,"?*"),INDEX('SL bán theo ngày'!U$9:U$82,ROWS($A$11:$A16)),"")</f>
        <v/>
      </c>
      <c r="S16" s="49" t="str">
        <f t="array" aca="1" ref="S16" ca="1">IF(ROWS($A$11:$A16)&lt;=COUNTIF('SL bán theo ngày'!$A$9:$A$82,"?*"),INDEX('SL bán theo ngày'!V$9:V$82,ROWS($A$11:$A16)),"")</f>
        <v/>
      </c>
      <c r="T16" s="49" t="str">
        <f t="array" aca="1" ref="T16" ca="1">IF(ROWS($A$11:$A16)&lt;=COUNTIF('SL bán theo ngày'!$A$9:$A$82,"?*"),INDEX('SL bán theo ngày'!W$9:W$82,ROWS($A$11:$A16)),"")</f>
        <v/>
      </c>
      <c r="U16" s="49" t="str">
        <f t="array" aca="1" ref="U16" ca="1">IF(ROWS($A$11:$A16)&lt;=COUNTIF('SL bán theo ngày'!$A$9:$A$82,"?*"),INDEX('SL bán theo ngày'!X$9:X$82,ROWS($A$11:$A16)),"")</f>
        <v/>
      </c>
      <c r="V16" s="49" t="str">
        <f t="array" aca="1" ref="V16" ca="1">IF(ROWS($A$11:$A16)&lt;=COUNTIF('SL bán theo ngày'!$A$9:$A$82,"?*"),INDEX('SL bán theo ngày'!Y$9:Y$82,ROWS($A$11:$A16)),"")</f>
        <v/>
      </c>
      <c r="W16" s="49" t="str">
        <f t="array" aca="1" ref="W16" ca="1">IF(ROWS($A$11:$A16)&lt;=COUNTIF('SL bán theo ngày'!$A$9:$A$82,"?*"),INDEX('SL bán theo ngày'!Z$9:Z$82,ROWS($A$11:$A16)),"")</f>
        <v/>
      </c>
      <c r="X16" s="49" t="str">
        <f t="array" aca="1" ref="X16" ca="1">IF(ROWS($A$11:$A16)&lt;=COUNTIF('SL bán theo ngày'!$A$9:$A$82,"?*"),INDEX('SL bán theo ngày'!AA$9:AA$82,ROWS($A$11:$A16)),"")</f>
        <v/>
      </c>
      <c r="Y16" s="49" t="str">
        <f t="array" aca="1" ref="Y16" ca="1">IF(ROWS($A$11:$A16)&lt;=COUNTIF('SL bán theo ngày'!$A$9:$A$82,"?*"),INDEX('SL bán theo ngày'!AB$9:AB$82,ROWS($A$11:$A16)),"")</f>
        <v/>
      </c>
      <c r="Z16" s="49" t="str">
        <f t="array" aca="1" ref="Z16" ca="1">IF(ROWS($A$11:$A16)&lt;=COUNTIF('SL bán theo ngày'!$A$9:$A$82,"?*"),INDEX('SL bán theo ngày'!AC$9:AC$82,ROWS($A$11:$A16)),"")</f>
        <v/>
      </c>
      <c r="AA16" s="49" t="str">
        <f t="array" aca="1" ref="AA16" ca="1">IF(ROWS($A$11:$A16)&lt;=COUNTIF('SL bán theo ngày'!$A$9:$A$82,"?*"),INDEX('SL bán theo ngày'!AD$9:AD$82,ROWS($A$11:$A16)),"")</f>
        <v/>
      </c>
      <c r="AB16" s="49" t="str">
        <f t="array" aca="1" ref="AB16" ca="1">IF(ROWS($A$11:$A16)&lt;=COUNTIF('SL bán theo ngày'!$A$9:$A$82,"?*"),INDEX('SL bán theo ngày'!AE$9:AE$82,ROWS($A$11:$A16)),"")</f>
        <v/>
      </c>
      <c r="AC16" s="49" t="str">
        <f t="array" aca="1" ref="AC16" ca="1">IF(ROWS($A$11:$A16)&lt;=COUNTIF('SL bán theo ngày'!$A$9:$A$82,"?*"),INDEX('SL bán theo ngày'!AF$9:AF$82,ROWS($A$11:$A16)),"")</f>
        <v/>
      </c>
      <c r="AD16" s="49" t="str">
        <f t="array" aca="1" ref="AD16" ca="1">IF(ROWS($A$11:$A16)&lt;=COUNTIF('SL bán theo ngày'!$A$9:$A$82,"?*"),INDEX('SL bán theo ngày'!AG$9:AG$82,ROWS($A$11:$A16)),"")</f>
        <v/>
      </c>
      <c r="AE16" s="49" t="str">
        <f t="array" aca="1" ref="AE16" ca="1">IF(ROWS($A$11:$A16)&lt;=COUNTIF('SL bán theo ngày'!$A$9:$A$82,"?*"),INDEX('SL bán theo ngày'!AH$9:AH$82,ROWS($A$11:$A16)),"")</f>
        <v/>
      </c>
      <c r="AF16" s="49" t="str">
        <f t="array" aca="1" ref="AF16" ca="1">IF(ROWS($A$11:$A16)&lt;=COUNTIF('SL bán theo ngày'!$A$9:$A$82,"?*"),INDEX('SL bán theo ngày'!AI$9:AI$82,ROWS($A$11:$A16)),"")</f>
        <v/>
      </c>
      <c r="AG16" s="49" t="str">
        <f t="array" aca="1" ref="AG16" ca="1">IF(ROWS($A$11:$A16)&lt;=COUNTIF('SL bán theo ngày'!$A$9:$A$82,"?*"),INDEX('SL bán theo ngày'!C$9:C$82,ROWS($A$11:$A16)),"")</f>
        <v>Cái</v>
      </c>
      <c r="AH16" s="74">
        <f t="array" aca="1" ref="AH16" ca="1">IF(ROWS($A$11:$A16)&lt;=COUNTIF('SL bán theo ngày'!$A$9:$A$82,"?*"),INDEX('SL bán theo ngày'!D$9:D$82,ROWS($A$11:$A16)),"")</f>
        <v>550</v>
      </c>
      <c r="AI16" s="49">
        <f t="array" aca="1" ref="AI16" ca="1">IF(ROWS($A$11:$A16)&lt;=COUNTIF('SL bán theo ngày'!$A$9:$A$82,"?*"),INDEX('SL bán theo ngày'!E$9:E$82,ROWS($A$11:$A16)),"")</f>
        <v>372</v>
      </c>
      <c r="AJ16" s="49">
        <f t="array" aca="1" ref="AJ16" ca="1">IF(ROWS($A$11:$A16)&lt;=COUNTIF('SL bán theo ngày'!$A$9:$A$82,"?*"),INDEX('SL bán theo ngày'!AJ$9:AJ$82,ROWS($A$11:$A16)),"")</f>
        <v>351</v>
      </c>
      <c r="AK16" s="49">
        <f t="array" aca="1" ref="AK16" ca="1">IF(ROWS($A$11:$A16)&lt;=COUNTIF('SL bán theo ngày'!$A$9:$A$82,"?*"),INDEX('SL bán theo ngày'!AK$9:AK$82,ROWS($A$11:$A16)),"")</f>
        <v>21</v>
      </c>
    </row>
    <row r="17" spans="1:37" x14ac:dyDescent="0.25">
      <c r="A17" s="27" t="str">
        <f t="array" aca="1" ref="A17" ca="1">IF(ROWS($A$11:$A17)&lt;=COUNTIF('SL bán theo ngày'!$A$9:$A$82,"?*"),INDEX('SL bán theo ngày'!A$9:A$82,ROWS($A$11:$A17)),"")</f>
        <v>VP26_40</v>
      </c>
      <c r="B17" s="37" t="str">
        <f t="array" aca="1" ref="B17" ca="1">IF(ROWS($A$11:$A17)&lt;=COUNTIF('SL bán theo ngày'!$A$9:$A$82,"?*"),INDEX('SL bán theo ngày'!B$9:B$82,ROWS($A$11:$A17)),"")</f>
        <v>Coke 300ml - Coca Chai Nhí 5K</v>
      </c>
      <c r="C17" s="48">
        <f t="array" aca="1" ref="C17" ca="1">IF(ROWS($A$11:$A17)&lt;=COUNTIF('SL bán theo ngày'!$A$9:$A$82,"?*"),INDEX('SL bán theo ngày'!F$9:F$82,ROWS($A$11:$A17)),"")</f>
        <v>4</v>
      </c>
      <c r="D17" s="49">
        <f t="array" aca="1" ref="D17" ca="1">IF(ROWS($A$11:$A17)&lt;=COUNTIF('SL bán theo ngày'!$A$9:$A$82,"?*"),INDEX('SL bán theo ngày'!G$9:G$82,ROWS($A$11:$A17)),"")</f>
        <v>5</v>
      </c>
      <c r="E17" s="49">
        <f t="array" aca="1" ref="E17" ca="1">IF(ROWS($A$11:$A17)&lt;=COUNTIF('SL bán theo ngày'!$A$9:$A$82,"?*"),INDEX('SL bán theo ngày'!H$9:H$82,ROWS($A$11:$A17)),"")</f>
        <v>4</v>
      </c>
      <c r="F17" s="49">
        <f t="array" aca="1" ref="F17" ca="1">IF(ROWS($A$11:$A17)&lt;=COUNTIF('SL bán theo ngày'!$A$9:$A$82,"?*"),INDEX('SL bán theo ngày'!I$9:I$82,ROWS($A$11:$A17)),"")</f>
        <v>5</v>
      </c>
      <c r="G17" s="49">
        <f t="array" aca="1" ref="G17" ca="1">IF(ROWS($A$11:$A17)&lt;=COUNTIF('SL bán theo ngày'!$A$9:$A$82,"?*"),INDEX('SL bán theo ngày'!J$9:J$82,ROWS($A$11:$A17)),"")</f>
        <v>4</v>
      </c>
      <c r="H17" s="49" t="str">
        <f t="array" aca="1" ref="H17" ca="1">IF(ROWS($A$11:$A17)&lt;=COUNTIF('SL bán theo ngày'!$A$9:$A$82,"?*"),INDEX('SL bán theo ngày'!K$9:K$82,ROWS($A$11:$A17)),"")</f>
        <v/>
      </c>
      <c r="I17" s="49" t="str">
        <f t="array" aca="1" ref="I17" ca="1">IF(ROWS($A$11:$A17)&lt;=COUNTIF('SL bán theo ngày'!$A$9:$A$82,"?*"),INDEX('SL bán theo ngày'!L$9:L$82,ROWS($A$11:$A17)),"")</f>
        <v/>
      </c>
      <c r="J17" s="49" t="str">
        <f t="array" aca="1" ref="J17" ca="1">IF(ROWS($A$11:$A17)&lt;=COUNTIF('SL bán theo ngày'!$A$9:$A$82,"?*"),INDEX('SL bán theo ngày'!M$9:M$82,ROWS($A$11:$A17)),"")</f>
        <v/>
      </c>
      <c r="K17" s="49" t="str">
        <f t="array" aca="1" ref="K17" ca="1">IF(ROWS($A$11:$A17)&lt;=COUNTIF('SL bán theo ngày'!$A$9:$A$82,"?*"),INDEX('SL bán theo ngày'!N$9:N$82,ROWS($A$11:$A17)),"")</f>
        <v/>
      </c>
      <c r="L17" s="49" t="str">
        <f t="array" aca="1" ref="L17" ca="1">IF(ROWS($A$11:$A17)&lt;=COUNTIF('SL bán theo ngày'!$A$9:$A$82,"?*"),INDEX('SL bán theo ngày'!O$9:O$82,ROWS($A$11:$A17)),"")</f>
        <v/>
      </c>
      <c r="M17" s="49" t="str">
        <f t="array" aca="1" ref="M17" ca="1">IF(ROWS($A$11:$A17)&lt;=COUNTIF('SL bán theo ngày'!$A$9:$A$82,"?*"),INDEX('SL bán theo ngày'!P$9:P$82,ROWS($A$11:$A17)),"")</f>
        <v/>
      </c>
      <c r="N17" s="49" t="str">
        <f t="array" aca="1" ref="N17" ca="1">IF(ROWS($A$11:$A17)&lt;=COUNTIF('SL bán theo ngày'!$A$9:$A$82,"?*"),INDEX('SL bán theo ngày'!Q$9:Q$82,ROWS($A$11:$A17)),"")</f>
        <v/>
      </c>
      <c r="O17" s="49" t="str">
        <f t="array" aca="1" ref="O17" ca="1">IF(ROWS($A$11:$A17)&lt;=COUNTIF('SL bán theo ngày'!$A$9:$A$82,"?*"),INDEX('SL bán theo ngày'!R$9:R$82,ROWS($A$11:$A17)),"")</f>
        <v/>
      </c>
      <c r="P17" s="49" t="str">
        <f t="array" aca="1" ref="P17" ca="1">IF(ROWS($A$11:$A17)&lt;=COUNTIF('SL bán theo ngày'!$A$9:$A$82,"?*"),INDEX('SL bán theo ngày'!S$9:S$82,ROWS($A$11:$A17)),"")</f>
        <v/>
      </c>
      <c r="Q17" s="49" t="str">
        <f t="array" aca="1" ref="Q17" ca="1">IF(ROWS($A$11:$A17)&lt;=COUNTIF('SL bán theo ngày'!$A$9:$A$82,"?*"),INDEX('SL bán theo ngày'!T$9:T$82,ROWS($A$11:$A17)),"")</f>
        <v/>
      </c>
      <c r="R17" s="49" t="str">
        <f t="array" aca="1" ref="R17" ca="1">IF(ROWS($A$11:$A17)&lt;=COUNTIF('SL bán theo ngày'!$A$9:$A$82,"?*"),INDEX('SL bán theo ngày'!U$9:U$82,ROWS($A$11:$A17)),"")</f>
        <v/>
      </c>
      <c r="S17" s="49" t="str">
        <f t="array" aca="1" ref="S17" ca="1">IF(ROWS($A$11:$A17)&lt;=COUNTIF('SL bán theo ngày'!$A$9:$A$82,"?*"),INDEX('SL bán theo ngày'!V$9:V$82,ROWS($A$11:$A17)),"")</f>
        <v/>
      </c>
      <c r="T17" s="49" t="str">
        <f t="array" aca="1" ref="T17" ca="1">IF(ROWS($A$11:$A17)&lt;=COUNTIF('SL bán theo ngày'!$A$9:$A$82,"?*"),INDEX('SL bán theo ngày'!W$9:W$82,ROWS($A$11:$A17)),"")</f>
        <v/>
      </c>
      <c r="U17" s="49" t="str">
        <f t="array" aca="1" ref="U17" ca="1">IF(ROWS($A$11:$A17)&lt;=COUNTIF('SL bán theo ngày'!$A$9:$A$82,"?*"),INDEX('SL bán theo ngày'!X$9:X$82,ROWS($A$11:$A17)),"")</f>
        <v/>
      </c>
      <c r="V17" s="49" t="str">
        <f t="array" aca="1" ref="V17" ca="1">IF(ROWS($A$11:$A17)&lt;=COUNTIF('SL bán theo ngày'!$A$9:$A$82,"?*"),INDEX('SL bán theo ngày'!Y$9:Y$82,ROWS($A$11:$A17)),"")</f>
        <v/>
      </c>
      <c r="W17" s="49" t="str">
        <f t="array" aca="1" ref="W17" ca="1">IF(ROWS($A$11:$A17)&lt;=COUNTIF('SL bán theo ngày'!$A$9:$A$82,"?*"),INDEX('SL bán theo ngày'!Z$9:Z$82,ROWS($A$11:$A17)),"")</f>
        <v/>
      </c>
      <c r="X17" s="49" t="str">
        <f t="array" aca="1" ref="X17" ca="1">IF(ROWS($A$11:$A17)&lt;=COUNTIF('SL bán theo ngày'!$A$9:$A$82,"?*"),INDEX('SL bán theo ngày'!AA$9:AA$82,ROWS($A$11:$A17)),"")</f>
        <v/>
      </c>
      <c r="Y17" s="49" t="str">
        <f t="array" aca="1" ref="Y17" ca="1">IF(ROWS($A$11:$A17)&lt;=COUNTIF('SL bán theo ngày'!$A$9:$A$82,"?*"),INDEX('SL bán theo ngày'!AB$9:AB$82,ROWS($A$11:$A17)),"")</f>
        <v/>
      </c>
      <c r="Z17" s="49" t="str">
        <f t="array" aca="1" ref="Z17" ca="1">IF(ROWS($A$11:$A17)&lt;=COUNTIF('SL bán theo ngày'!$A$9:$A$82,"?*"),INDEX('SL bán theo ngày'!AC$9:AC$82,ROWS($A$11:$A17)),"")</f>
        <v/>
      </c>
      <c r="AA17" s="49" t="str">
        <f t="array" aca="1" ref="AA17" ca="1">IF(ROWS($A$11:$A17)&lt;=COUNTIF('SL bán theo ngày'!$A$9:$A$82,"?*"),INDEX('SL bán theo ngày'!AD$9:AD$82,ROWS($A$11:$A17)),"")</f>
        <v/>
      </c>
      <c r="AB17" s="49" t="str">
        <f t="array" aca="1" ref="AB17" ca="1">IF(ROWS($A$11:$A17)&lt;=COUNTIF('SL bán theo ngày'!$A$9:$A$82,"?*"),INDEX('SL bán theo ngày'!AE$9:AE$82,ROWS($A$11:$A17)),"")</f>
        <v/>
      </c>
      <c r="AC17" s="49" t="str">
        <f t="array" aca="1" ref="AC17" ca="1">IF(ROWS($A$11:$A17)&lt;=COUNTIF('SL bán theo ngày'!$A$9:$A$82,"?*"),INDEX('SL bán theo ngày'!AF$9:AF$82,ROWS($A$11:$A17)),"")</f>
        <v/>
      </c>
      <c r="AD17" s="49" t="str">
        <f t="array" aca="1" ref="AD17" ca="1">IF(ROWS($A$11:$A17)&lt;=COUNTIF('SL bán theo ngày'!$A$9:$A$82,"?*"),INDEX('SL bán theo ngày'!AG$9:AG$82,ROWS($A$11:$A17)),"")</f>
        <v/>
      </c>
      <c r="AE17" s="49" t="str">
        <f t="array" aca="1" ref="AE17" ca="1">IF(ROWS($A$11:$A17)&lt;=COUNTIF('SL bán theo ngày'!$A$9:$A$82,"?*"),INDEX('SL bán theo ngày'!AH$9:AH$82,ROWS($A$11:$A17)),"")</f>
        <v/>
      </c>
      <c r="AF17" s="49" t="str">
        <f t="array" aca="1" ref="AF17" ca="1">IF(ROWS($A$11:$A17)&lt;=COUNTIF('SL bán theo ngày'!$A$9:$A$82,"?*"),INDEX('SL bán theo ngày'!AI$9:AI$82,ROWS($A$11:$A17)),"")</f>
        <v/>
      </c>
      <c r="AG17" s="49" t="str">
        <f t="array" aca="1" ref="AG17" ca="1">IF(ROWS($A$11:$A17)&lt;=COUNTIF('SL bán theo ngày'!$A$9:$A$82,"?*"),INDEX('SL bán theo ngày'!C$9:C$82,ROWS($A$11:$A17)),"")</f>
        <v>Chai</v>
      </c>
      <c r="AH17" s="74">
        <f t="array" aca="1" ref="AH17" ca="1">IF(ROWS($A$11:$A17)&lt;=COUNTIF('SL bán theo ngày'!$A$9:$A$82,"?*"),INDEX('SL bán theo ngày'!D$9:D$82,ROWS($A$11:$A17)),"")</f>
        <v>4285</v>
      </c>
      <c r="AI17" s="49">
        <f t="array" aca="1" ref="AI17" ca="1">IF(ROWS($A$11:$A17)&lt;=COUNTIF('SL bán theo ngày'!$A$9:$A$82,"?*"),INDEX('SL bán theo ngày'!E$9:E$82,ROWS($A$11:$A17)),"")</f>
        <v>24</v>
      </c>
      <c r="AJ17" s="49">
        <f t="array" aca="1" ref="AJ17" ca="1">IF(ROWS($A$11:$A17)&lt;=COUNTIF('SL bán theo ngày'!$A$9:$A$82,"?*"),INDEX('SL bán theo ngày'!AJ$9:AJ$82,ROWS($A$11:$A17)),"")</f>
        <v>22</v>
      </c>
      <c r="AK17" s="49">
        <f t="array" aca="1" ref="AK17" ca="1">IF(ROWS($A$11:$A17)&lt;=COUNTIF('SL bán theo ngày'!$A$9:$A$82,"?*"),INDEX('SL bán theo ngày'!AK$9:AK$82,ROWS($A$11:$A17)),"")</f>
        <v>2</v>
      </c>
    </row>
    <row r="18" spans="1:37" x14ac:dyDescent="0.25">
      <c r="A18" s="27" t="str">
        <f t="array" aca="1" ref="A18" ca="1">IF(ROWS($A$11:$A18)&lt;=COUNTIF('SL bán theo ngày'!$A$9:$A$82,"?*"),INDEX('SL bán theo ngày'!A$9:A$82,ROWS($A$11:$A18)),"")</f>
        <v>VP26_41</v>
      </c>
      <c r="B18" s="37" t="str">
        <f t="array" aca="1" ref="B18" ca="1">IF(ROWS($A$11:$A18)&lt;=COUNTIF('SL bán theo ngày'!$A$9:$A$82,"?*"),INDEX('SL bán theo ngày'!B$9:B$82,ROWS($A$11:$A18)),"")</f>
        <v>Đậu phộng Oishi 1K (20 dây/T)</v>
      </c>
      <c r="C18" s="48">
        <f t="array" aca="1" ref="C18" ca="1">IF(ROWS($A$11:$A18)&lt;=COUNTIF('SL bán theo ngày'!$A$9:$A$82,"?*"),INDEX('SL bán theo ngày'!F$9:F$82,ROWS($A$11:$A18)),"")</f>
        <v>4</v>
      </c>
      <c r="D18" s="49">
        <f t="array" aca="1" ref="D18" ca="1">IF(ROWS($A$11:$A18)&lt;=COUNTIF('SL bán theo ngày'!$A$9:$A$82,"?*"),INDEX('SL bán theo ngày'!G$9:G$82,ROWS($A$11:$A18)),"")</f>
        <v>3</v>
      </c>
      <c r="E18" s="49">
        <f t="array" aca="1" ref="E18" ca="1">IF(ROWS($A$11:$A18)&lt;=COUNTIF('SL bán theo ngày'!$A$9:$A$82,"?*"),INDEX('SL bán theo ngày'!H$9:H$82,ROWS($A$11:$A18)),"")</f>
        <v>4</v>
      </c>
      <c r="F18" s="49">
        <f t="array" aca="1" ref="F18" ca="1">IF(ROWS($A$11:$A18)&lt;=COUNTIF('SL bán theo ngày'!$A$9:$A$82,"?*"),INDEX('SL bán theo ngày'!I$9:I$82,ROWS($A$11:$A18)),"")</f>
        <v>3</v>
      </c>
      <c r="G18" s="49">
        <f t="array" aca="1" ref="G18" ca="1">IF(ROWS($A$11:$A18)&lt;=COUNTIF('SL bán theo ngày'!$A$9:$A$82,"?*"),INDEX('SL bán theo ngày'!J$9:J$82,ROWS($A$11:$A18)),"")</f>
        <v>4</v>
      </c>
      <c r="H18" s="49" t="str">
        <f t="array" aca="1" ref="H18" ca="1">IF(ROWS($A$11:$A18)&lt;=COUNTIF('SL bán theo ngày'!$A$9:$A$82,"?*"),INDEX('SL bán theo ngày'!K$9:K$82,ROWS($A$11:$A18)),"")</f>
        <v/>
      </c>
      <c r="I18" s="49" t="str">
        <f t="array" aca="1" ref="I18" ca="1">IF(ROWS($A$11:$A18)&lt;=COUNTIF('SL bán theo ngày'!$A$9:$A$82,"?*"),INDEX('SL bán theo ngày'!L$9:L$82,ROWS($A$11:$A18)),"")</f>
        <v/>
      </c>
      <c r="J18" s="49" t="str">
        <f t="array" aca="1" ref="J18" ca="1">IF(ROWS($A$11:$A18)&lt;=COUNTIF('SL bán theo ngày'!$A$9:$A$82,"?*"),INDEX('SL bán theo ngày'!M$9:M$82,ROWS($A$11:$A18)),"")</f>
        <v/>
      </c>
      <c r="K18" s="49" t="str">
        <f t="array" aca="1" ref="K18" ca="1">IF(ROWS($A$11:$A18)&lt;=COUNTIF('SL bán theo ngày'!$A$9:$A$82,"?*"),INDEX('SL bán theo ngày'!N$9:N$82,ROWS($A$11:$A18)),"")</f>
        <v/>
      </c>
      <c r="L18" s="49" t="str">
        <f t="array" aca="1" ref="L18" ca="1">IF(ROWS($A$11:$A18)&lt;=COUNTIF('SL bán theo ngày'!$A$9:$A$82,"?*"),INDEX('SL bán theo ngày'!O$9:O$82,ROWS($A$11:$A18)),"")</f>
        <v/>
      </c>
      <c r="M18" s="49" t="str">
        <f t="array" aca="1" ref="M18" ca="1">IF(ROWS($A$11:$A18)&lt;=COUNTIF('SL bán theo ngày'!$A$9:$A$82,"?*"),INDEX('SL bán theo ngày'!P$9:P$82,ROWS($A$11:$A18)),"")</f>
        <v/>
      </c>
      <c r="N18" s="49" t="str">
        <f t="array" aca="1" ref="N18" ca="1">IF(ROWS($A$11:$A18)&lt;=COUNTIF('SL bán theo ngày'!$A$9:$A$82,"?*"),INDEX('SL bán theo ngày'!Q$9:Q$82,ROWS($A$11:$A18)),"")</f>
        <v/>
      </c>
      <c r="O18" s="49" t="str">
        <f t="array" aca="1" ref="O18" ca="1">IF(ROWS($A$11:$A18)&lt;=COUNTIF('SL bán theo ngày'!$A$9:$A$82,"?*"),INDEX('SL bán theo ngày'!R$9:R$82,ROWS($A$11:$A18)),"")</f>
        <v/>
      </c>
      <c r="P18" s="49" t="str">
        <f t="array" aca="1" ref="P18" ca="1">IF(ROWS($A$11:$A18)&lt;=COUNTIF('SL bán theo ngày'!$A$9:$A$82,"?*"),INDEX('SL bán theo ngày'!S$9:S$82,ROWS($A$11:$A18)),"")</f>
        <v/>
      </c>
      <c r="Q18" s="49" t="str">
        <f t="array" aca="1" ref="Q18" ca="1">IF(ROWS($A$11:$A18)&lt;=COUNTIF('SL bán theo ngày'!$A$9:$A$82,"?*"),INDEX('SL bán theo ngày'!T$9:T$82,ROWS($A$11:$A18)),"")</f>
        <v/>
      </c>
      <c r="R18" s="49" t="str">
        <f t="array" aca="1" ref="R18" ca="1">IF(ROWS($A$11:$A18)&lt;=COUNTIF('SL bán theo ngày'!$A$9:$A$82,"?*"),INDEX('SL bán theo ngày'!U$9:U$82,ROWS($A$11:$A18)),"")</f>
        <v/>
      </c>
      <c r="S18" s="49" t="str">
        <f t="array" aca="1" ref="S18" ca="1">IF(ROWS($A$11:$A18)&lt;=COUNTIF('SL bán theo ngày'!$A$9:$A$82,"?*"),INDEX('SL bán theo ngày'!V$9:V$82,ROWS($A$11:$A18)),"")</f>
        <v/>
      </c>
      <c r="T18" s="49" t="str">
        <f t="array" aca="1" ref="T18" ca="1">IF(ROWS($A$11:$A18)&lt;=COUNTIF('SL bán theo ngày'!$A$9:$A$82,"?*"),INDEX('SL bán theo ngày'!W$9:W$82,ROWS($A$11:$A18)),"")</f>
        <v/>
      </c>
      <c r="U18" s="49" t="str">
        <f t="array" aca="1" ref="U18" ca="1">IF(ROWS($A$11:$A18)&lt;=COUNTIF('SL bán theo ngày'!$A$9:$A$82,"?*"),INDEX('SL bán theo ngày'!X$9:X$82,ROWS($A$11:$A18)),"")</f>
        <v/>
      </c>
      <c r="V18" s="49" t="str">
        <f t="array" aca="1" ref="V18" ca="1">IF(ROWS($A$11:$A18)&lt;=COUNTIF('SL bán theo ngày'!$A$9:$A$82,"?*"),INDEX('SL bán theo ngày'!Y$9:Y$82,ROWS($A$11:$A18)),"")</f>
        <v/>
      </c>
      <c r="W18" s="49" t="str">
        <f t="array" aca="1" ref="W18" ca="1">IF(ROWS($A$11:$A18)&lt;=COUNTIF('SL bán theo ngày'!$A$9:$A$82,"?*"),INDEX('SL bán theo ngày'!Z$9:Z$82,ROWS($A$11:$A18)),"")</f>
        <v/>
      </c>
      <c r="X18" s="49" t="str">
        <f t="array" aca="1" ref="X18" ca="1">IF(ROWS($A$11:$A18)&lt;=COUNTIF('SL bán theo ngày'!$A$9:$A$82,"?*"),INDEX('SL bán theo ngày'!AA$9:AA$82,ROWS($A$11:$A18)),"")</f>
        <v/>
      </c>
      <c r="Y18" s="49" t="str">
        <f t="array" aca="1" ref="Y18" ca="1">IF(ROWS($A$11:$A18)&lt;=COUNTIF('SL bán theo ngày'!$A$9:$A$82,"?*"),INDEX('SL bán theo ngày'!AB$9:AB$82,ROWS($A$11:$A18)),"")</f>
        <v/>
      </c>
      <c r="Z18" s="49" t="str">
        <f t="array" aca="1" ref="Z18" ca="1">IF(ROWS($A$11:$A18)&lt;=COUNTIF('SL bán theo ngày'!$A$9:$A$82,"?*"),INDEX('SL bán theo ngày'!AC$9:AC$82,ROWS($A$11:$A18)),"")</f>
        <v/>
      </c>
      <c r="AA18" s="49" t="str">
        <f t="array" aca="1" ref="AA18" ca="1">IF(ROWS($A$11:$A18)&lt;=COUNTIF('SL bán theo ngày'!$A$9:$A$82,"?*"),INDEX('SL bán theo ngày'!AD$9:AD$82,ROWS($A$11:$A18)),"")</f>
        <v/>
      </c>
      <c r="AB18" s="49" t="str">
        <f t="array" aca="1" ref="AB18" ca="1">IF(ROWS($A$11:$A18)&lt;=COUNTIF('SL bán theo ngày'!$A$9:$A$82,"?*"),INDEX('SL bán theo ngày'!AE$9:AE$82,ROWS($A$11:$A18)),"")</f>
        <v/>
      </c>
      <c r="AC18" s="49" t="str">
        <f t="array" aca="1" ref="AC18" ca="1">IF(ROWS($A$11:$A18)&lt;=COUNTIF('SL bán theo ngày'!$A$9:$A$82,"?*"),INDEX('SL bán theo ngày'!AF$9:AF$82,ROWS($A$11:$A18)),"")</f>
        <v/>
      </c>
      <c r="AD18" s="49" t="str">
        <f t="array" aca="1" ref="AD18" ca="1">IF(ROWS($A$11:$A18)&lt;=COUNTIF('SL bán theo ngày'!$A$9:$A$82,"?*"),INDEX('SL bán theo ngày'!AG$9:AG$82,ROWS($A$11:$A18)),"")</f>
        <v/>
      </c>
      <c r="AE18" s="49" t="str">
        <f t="array" aca="1" ref="AE18" ca="1">IF(ROWS($A$11:$A18)&lt;=COUNTIF('SL bán theo ngày'!$A$9:$A$82,"?*"),INDEX('SL bán theo ngày'!AH$9:AH$82,ROWS($A$11:$A18)),"")</f>
        <v/>
      </c>
      <c r="AF18" s="49" t="str">
        <f t="array" aca="1" ref="AF18" ca="1">IF(ROWS($A$11:$A18)&lt;=COUNTIF('SL bán theo ngày'!$A$9:$A$82,"?*"),INDEX('SL bán theo ngày'!AI$9:AI$82,ROWS($A$11:$A18)),"")</f>
        <v/>
      </c>
      <c r="AG18" s="49" t="str">
        <f t="array" aca="1" ref="AG18" ca="1">IF(ROWS($A$11:$A18)&lt;=COUNTIF('SL bán theo ngày'!$A$9:$A$82,"?*"),INDEX('SL bán theo ngày'!C$9:C$82,ROWS($A$11:$A18)),"")</f>
        <v>Dây</v>
      </c>
      <c r="AH18" s="74">
        <f t="array" aca="1" ref="AH18" ca="1">IF(ROWS($A$11:$A18)&lt;=COUNTIF('SL bán theo ngày'!$A$9:$A$82,"?*"),INDEX('SL bán theo ngày'!D$9:D$82,ROWS($A$11:$A18)),"")</f>
        <v>7637</v>
      </c>
      <c r="AI18" s="49">
        <f t="array" aca="1" ref="AI18" ca="1">IF(ROWS($A$11:$A18)&lt;=COUNTIF('SL bán theo ngày'!$A$9:$A$82,"?*"),INDEX('SL bán theo ngày'!E$9:E$82,ROWS($A$11:$A18)),"")</f>
        <v>20</v>
      </c>
      <c r="AJ18" s="49">
        <f t="array" aca="1" ref="AJ18" ca="1">IF(ROWS($A$11:$A18)&lt;=COUNTIF('SL bán theo ngày'!$A$9:$A$82,"?*"),INDEX('SL bán theo ngày'!AJ$9:AJ$82,ROWS($A$11:$A18)),"")</f>
        <v>18</v>
      </c>
      <c r="AK18" s="49">
        <f t="array" aca="1" ref="AK18" ca="1">IF(ROWS($A$11:$A18)&lt;=COUNTIF('SL bán theo ngày'!$A$9:$A$82,"?*"),INDEX('SL bán theo ngày'!AK$9:AK$82,ROWS($A$11:$A18)),"")</f>
        <v>2</v>
      </c>
    </row>
    <row r="19" spans="1:37" x14ac:dyDescent="0.25">
      <c r="A19" s="27" t="str">
        <f t="array" aca="1" ref="A19" ca="1">IF(ROWS($A$11:$A19)&lt;=COUNTIF('SL bán theo ngày'!$A$9:$A$82,"?*"),INDEX('SL bán theo ngày'!A$9:A$82,ROWS($A$11:$A19)),"")</f>
        <v>VP26_43</v>
      </c>
      <c r="B19" s="37" t="str">
        <f t="array" aca="1" ref="B19" ca="1">IF(ROWS($A$11:$A19)&lt;=COUNTIF('SL bán theo ngày'!$A$9:$A$82,"?*"),INDEX('SL bán theo ngày'!B$9:B$82,ROWS($A$11:$A19)),"")</f>
        <v>Thạch SUSO Cây Dài (24 cái)</v>
      </c>
      <c r="C19" s="48">
        <f t="array" aca="1" ref="C19" ca="1">IF(ROWS($A$11:$A19)&lt;=COUNTIF('SL bán theo ngày'!$A$9:$A$82,"?*"),INDEX('SL bán theo ngày'!F$9:F$82,ROWS($A$11:$A19)),"")</f>
        <v>81</v>
      </c>
      <c r="D19" s="49">
        <f t="array" aca="1" ref="D19" ca="1">IF(ROWS($A$11:$A19)&lt;=COUNTIF('SL bán theo ngày'!$A$9:$A$82,"?*"),INDEX('SL bán theo ngày'!G$9:G$82,ROWS($A$11:$A19)),"")</f>
        <v>81</v>
      </c>
      <c r="E19" s="49">
        <f t="array" aca="1" ref="E19" ca="1">IF(ROWS($A$11:$A19)&lt;=COUNTIF('SL bán theo ngày'!$A$9:$A$82,"?*"),INDEX('SL bán theo ngày'!H$9:H$82,ROWS($A$11:$A19)),"")</f>
        <v>82</v>
      </c>
      <c r="F19" s="49">
        <f t="array" aca="1" ref="F19" ca="1">IF(ROWS($A$11:$A19)&lt;=COUNTIF('SL bán theo ngày'!$A$9:$A$82,"?*"),INDEX('SL bán theo ngày'!I$9:I$82,ROWS($A$11:$A19)),"")</f>
        <v>81</v>
      </c>
      <c r="G19" s="49">
        <f t="array" aca="1" ref="G19" ca="1">IF(ROWS($A$11:$A19)&lt;=COUNTIF('SL bán theo ngày'!$A$9:$A$82,"?*"),INDEX('SL bán theo ngày'!J$9:J$82,ROWS($A$11:$A19)),"")</f>
        <v>81</v>
      </c>
      <c r="H19" s="49" t="str">
        <f t="array" aca="1" ref="H19" ca="1">IF(ROWS($A$11:$A19)&lt;=COUNTIF('SL bán theo ngày'!$A$9:$A$82,"?*"),INDEX('SL bán theo ngày'!K$9:K$82,ROWS($A$11:$A19)),"")</f>
        <v/>
      </c>
      <c r="I19" s="49" t="str">
        <f t="array" aca="1" ref="I19" ca="1">IF(ROWS($A$11:$A19)&lt;=COUNTIF('SL bán theo ngày'!$A$9:$A$82,"?*"),INDEX('SL bán theo ngày'!L$9:L$82,ROWS($A$11:$A19)),"")</f>
        <v/>
      </c>
      <c r="J19" s="49" t="str">
        <f t="array" aca="1" ref="J19" ca="1">IF(ROWS($A$11:$A19)&lt;=COUNTIF('SL bán theo ngày'!$A$9:$A$82,"?*"),INDEX('SL bán theo ngày'!M$9:M$82,ROWS($A$11:$A19)),"")</f>
        <v/>
      </c>
      <c r="K19" s="49" t="str">
        <f t="array" aca="1" ref="K19" ca="1">IF(ROWS($A$11:$A19)&lt;=COUNTIF('SL bán theo ngày'!$A$9:$A$82,"?*"),INDEX('SL bán theo ngày'!N$9:N$82,ROWS($A$11:$A19)),"")</f>
        <v/>
      </c>
      <c r="L19" s="49" t="str">
        <f t="array" aca="1" ref="L19" ca="1">IF(ROWS($A$11:$A19)&lt;=COUNTIF('SL bán theo ngày'!$A$9:$A$82,"?*"),INDEX('SL bán theo ngày'!O$9:O$82,ROWS($A$11:$A19)),"")</f>
        <v/>
      </c>
      <c r="M19" s="49" t="str">
        <f t="array" aca="1" ref="M19" ca="1">IF(ROWS($A$11:$A19)&lt;=COUNTIF('SL bán theo ngày'!$A$9:$A$82,"?*"),INDEX('SL bán theo ngày'!P$9:P$82,ROWS($A$11:$A19)),"")</f>
        <v/>
      </c>
      <c r="N19" s="49" t="str">
        <f t="array" aca="1" ref="N19" ca="1">IF(ROWS($A$11:$A19)&lt;=COUNTIF('SL bán theo ngày'!$A$9:$A$82,"?*"),INDEX('SL bán theo ngày'!Q$9:Q$82,ROWS($A$11:$A19)),"")</f>
        <v/>
      </c>
      <c r="O19" s="49" t="str">
        <f t="array" aca="1" ref="O19" ca="1">IF(ROWS($A$11:$A19)&lt;=COUNTIF('SL bán theo ngày'!$A$9:$A$82,"?*"),INDEX('SL bán theo ngày'!R$9:R$82,ROWS($A$11:$A19)),"")</f>
        <v/>
      </c>
      <c r="P19" s="49" t="str">
        <f t="array" aca="1" ref="P19" ca="1">IF(ROWS($A$11:$A19)&lt;=COUNTIF('SL bán theo ngày'!$A$9:$A$82,"?*"),INDEX('SL bán theo ngày'!S$9:S$82,ROWS($A$11:$A19)),"")</f>
        <v/>
      </c>
      <c r="Q19" s="49" t="str">
        <f t="array" aca="1" ref="Q19" ca="1">IF(ROWS($A$11:$A19)&lt;=COUNTIF('SL bán theo ngày'!$A$9:$A$82,"?*"),INDEX('SL bán theo ngày'!T$9:T$82,ROWS($A$11:$A19)),"")</f>
        <v/>
      </c>
      <c r="R19" s="49" t="str">
        <f t="array" aca="1" ref="R19" ca="1">IF(ROWS($A$11:$A19)&lt;=COUNTIF('SL bán theo ngày'!$A$9:$A$82,"?*"),INDEX('SL bán theo ngày'!U$9:U$82,ROWS($A$11:$A19)),"")</f>
        <v/>
      </c>
      <c r="S19" s="49" t="str">
        <f t="array" aca="1" ref="S19" ca="1">IF(ROWS($A$11:$A19)&lt;=COUNTIF('SL bán theo ngày'!$A$9:$A$82,"?*"),INDEX('SL bán theo ngày'!V$9:V$82,ROWS($A$11:$A19)),"")</f>
        <v/>
      </c>
      <c r="T19" s="49" t="str">
        <f t="array" aca="1" ref="T19" ca="1">IF(ROWS($A$11:$A19)&lt;=COUNTIF('SL bán theo ngày'!$A$9:$A$82,"?*"),INDEX('SL bán theo ngày'!W$9:W$82,ROWS($A$11:$A19)),"")</f>
        <v/>
      </c>
      <c r="U19" s="49" t="str">
        <f t="array" aca="1" ref="U19" ca="1">IF(ROWS($A$11:$A19)&lt;=COUNTIF('SL bán theo ngày'!$A$9:$A$82,"?*"),INDEX('SL bán theo ngày'!X$9:X$82,ROWS($A$11:$A19)),"")</f>
        <v/>
      </c>
      <c r="V19" s="49" t="str">
        <f t="array" aca="1" ref="V19" ca="1">IF(ROWS($A$11:$A19)&lt;=COUNTIF('SL bán theo ngày'!$A$9:$A$82,"?*"),INDEX('SL bán theo ngày'!Y$9:Y$82,ROWS($A$11:$A19)),"")</f>
        <v/>
      </c>
      <c r="W19" s="49" t="str">
        <f t="array" aca="1" ref="W19" ca="1">IF(ROWS($A$11:$A19)&lt;=COUNTIF('SL bán theo ngày'!$A$9:$A$82,"?*"),INDEX('SL bán theo ngày'!Z$9:Z$82,ROWS($A$11:$A19)),"")</f>
        <v/>
      </c>
      <c r="X19" s="49" t="str">
        <f t="array" aca="1" ref="X19" ca="1">IF(ROWS($A$11:$A19)&lt;=COUNTIF('SL bán theo ngày'!$A$9:$A$82,"?*"),INDEX('SL bán theo ngày'!AA$9:AA$82,ROWS($A$11:$A19)),"")</f>
        <v/>
      </c>
      <c r="Y19" s="49" t="str">
        <f t="array" aca="1" ref="Y19" ca="1">IF(ROWS($A$11:$A19)&lt;=COUNTIF('SL bán theo ngày'!$A$9:$A$82,"?*"),INDEX('SL bán theo ngày'!AB$9:AB$82,ROWS($A$11:$A19)),"")</f>
        <v/>
      </c>
      <c r="Z19" s="49" t="str">
        <f t="array" aca="1" ref="Z19" ca="1">IF(ROWS($A$11:$A19)&lt;=COUNTIF('SL bán theo ngày'!$A$9:$A$82,"?*"),INDEX('SL bán theo ngày'!AC$9:AC$82,ROWS($A$11:$A19)),"")</f>
        <v/>
      </c>
      <c r="AA19" s="49" t="str">
        <f t="array" aca="1" ref="AA19" ca="1">IF(ROWS($A$11:$A19)&lt;=COUNTIF('SL bán theo ngày'!$A$9:$A$82,"?*"),INDEX('SL bán theo ngày'!AD$9:AD$82,ROWS($A$11:$A19)),"")</f>
        <v/>
      </c>
      <c r="AB19" s="49" t="str">
        <f t="array" aca="1" ref="AB19" ca="1">IF(ROWS($A$11:$A19)&lt;=COUNTIF('SL bán theo ngày'!$A$9:$A$82,"?*"),INDEX('SL bán theo ngày'!AE$9:AE$82,ROWS($A$11:$A19)),"")</f>
        <v/>
      </c>
      <c r="AC19" s="49" t="str">
        <f t="array" aca="1" ref="AC19" ca="1">IF(ROWS($A$11:$A19)&lt;=COUNTIF('SL bán theo ngày'!$A$9:$A$82,"?*"),INDEX('SL bán theo ngày'!AF$9:AF$82,ROWS($A$11:$A19)),"")</f>
        <v/>
      </c>
      <c r="AD19" s="49" t="str">
        <f t="array" aca="1" ref="AD19" ca="1">IF(ROWS($A$11:$A19)&lt;=COUNTIF('SL bán theo ngày'!$A$9:$A$82,"?*"),INDEX('SL bán theo ngày'!AG$9:AG$82,ROWS($A$11:$A19)),"")</f>
        <v/>
      </c>
      <c r="AE19" s="49" t="str">
        <f t="array" aca="1" ref="AE19" ca="1">IF(ROWS($A$11:$A19)&lt;=COUNTIF('SL bán theo ngày'!$A$9:$A$82,"?*"),INDEX('SL bán theo ngày'!AH$9:AH$82,ROWS($A$11:$A19)),"")</f>
        <v/>
      </c>
      <c r="AF19" s="49" t="str">
        <f t="array" aca="1" ref="AF19" ca="1">IF(ROWS($A$11:$A19)&lt;=COUNTIF('SL bán theo ngày'!$A$9:$A$82,"?*"),INDEX('SL bán theo ngày'!AI$9:AI$82,ROWS($A$11:$A19)),"")</f>
        <v/>
      </c>
      <c r="AG19" s="49" t="str">
        <f t="array" aca="1" ref="AG19" ca="1">IF(ROWS($A$11:$A19)&lt;=COUNTIF('SL bán theo ngày'!$A$9:$A$82,"?*"),INDEX('SL bán theo ngày'!C$9:C$82,ROWS($A$11:$A19)),"")</f>
        <v>Cái</v>
      </c>
      <c r="AH19" s="74">
        <f t="array" aca="1" ref="AH19" ca="1">IF(ROWS($A$11:$A19)&lt;=COUNTIF('SL bán theo ngày'!$A$9:$A$82,"?*"),INDEX('SL bán theo ngày'!D$9:D$82,ROWS($A$11:$A19)),"")</f>
        <v>1375</v>
      </c>
      <c r="AI19" s="49">
        <f t="array" aca="1" ref="AI19" ca="1">IF(ROWS($A$11:$A19)&lt;=COUNTIF('SL bán theo ngày'!$A$9:$A$82,"?*"),INDEX('SL bán theo ngày'!E$9:E$82,ROWS($A$11:$A19)),"")</f>
        <v>432</v>
      </c>
      <c r="AJ19" s="49">
        <f t="array" aca="1" ref="AJ19" ca="1">IF(ROWS($A$11:$A19)&lt;=COUNTIF('SL bán theo ngày'!$A$9:$A$82,"?*"),INDEX('SL bán theo ngày'!AJ$9:AJ$82,ROWS($A$11:$A19)),"")</f>
        <v>406</v>
      </c>
      <c r="AK19" s="49">
        <f t="array" aca="1" ref="AK19" ca="1">IF(ROWS($A$11:$A19)&lt;=COUNTIF('SL bán theo ngày'!$A$9:$A$82,"?*"),INDEX('SL bán theo ngày'!AK$9:AK$82,ROWS($A$11:$A19)),"")</f>
        <v>26</v>
      </c>
    </row>
    <row r="20" spans="1:37" x14ac:dyDescent="0.25">
      <c r="A20" s="27" t="str">
        <f t="array" aca="1" ref="A20" ca="1">IF(ROWS($A$11:$A20)&lt;=COUNTIF('SL bán theo ngày'!$A$9:$A$82,"?*"),INDEX('SL bán theo ngày'!A$9:A$82,ROWS($A$11:$A20)),"")</f>
        <v>VP26_45</v>
      </c>
      <c r="B20" s="37" t="str">
        <f t="array" aca="1" ref="B20" ca="1">IF(ROWS($A$11:$A20)&lt;=COUNTIF('SL bán theo ngày'!$A$9:$A$82,"?*"),INDEX('SL bán theo ngày'!B$9:B$82,ROWS($A$11:$A20)),"")</f>
        <v>Mì Vàng Enaak 30g (24 gói/Hộp)</v>
      </c>
      <c r="C20" s="48">
        <f t="array" aca="1" ref="C20" ca="1">IF(ROWS($A$11:$A20)&lt;=COUNTIF('SL bán theo ngày'!$A$9:$A$82,"?*"),INDEX('SL bán theo ngày'!F$9:F$82,ROWS($A$11:$A20)),"")</f>
        <v>27</v>
      </c>
      <c r="D20" s="49">
        <f t="array" aca="1" ref="D20" ca="1">IF(ROWS($A$11:$A20)&lt;=COUNTIF('SL bán theo ngày'!$A$9:$A$82,"?*"),INDEX('SL bán theo ngày'!G$9:G$82,ROWS($A$11:$A20)),"")</f>
        <v>27</v>
      </c>
      <c r="E20" s="49">
        <f t="array" aca="1" ref="E20" ca="1">IF(ROWS($A$11:$A20)&lt;=COUNTIF('SL bán theo ngày'!$A$9:$A$82,"?*"),INDEX('SL bán theo ngày'!H$9:H$82,ROWS($A$11:$A20)),"")</f>
        <v>27</v>
      </c>
      <c r="F20" s="49">
        <f t="array" aca="1" ref="F20" ca="1">IF(ROWS($A$11:$A20)&lt;=COUNTIF('SL bán theo ngày'!$A$9:$A$82,"?*"),INDEX('SL bán theo ngày'!I$9:I$82,ROWS($A$11:$A20)),"")</f>
        <v>27</v>
      </c>
      <c r="G20" s="49">
        <f t="array" aca="1" ref="G20" ca="1">IF(ROWS($A$11:$A20)&lt;=COUNTIF('SL bán theo ngày'!$A$9:$A$82,"?*"),INDEX('SL bán theo ngày'!J$9:J$82,ROWS($A$11:$A20)),"")</f>
        <v>27</v>
      </c>
      <c r="H20" s="49" t="str">
        <f t="array" aca="1" ref="H20" ca="1">IF(ROWS($A$11:$A20)&lt;=COUNTIF('SL bán theo ngày'!$A$9:$A$82,"?*"),INDEX('SL bán theo ngày'!K$9:K$82,ROWS($A$11:$A20)),"")</f>
        <v/>
      </c>
      <c r="I20" s="49" t="str">
        <f t="array" aca="1" ref="I20" ca="1">IF(ROWS($A$11:$A20)&lt;=COUNTIF('SL bán theo ngày'!$A$9:$A$82,"?*"),INDEX('SL bán theo ngày'!L$9:L$82,ROWS($A$11:$A20)),"")</f>
        <v/>
      </c>
      <c r="J20" s="49" t="str">
        <f t="array" aca="1" ref="J20" ca="1">IF(ROWS($A$11:$A20)&lt;=COUNTIF('SL bán theo ngày'!$A$9:$A$82,"?*"),INDEX('SL bán theo ngày'!M$9:M$82,ROWS($A$11:$A20)),"")</f>
        <v/>
      </c>
      <c r="K20" s="49" t="str">
        <f t="array" aca="1" ref="K20" ca="1">IF(ROWS($A$11:$A20)&lt;=COUNTIF('SL bán theo ngày'!$A$9:$A$82,"?*"),INDEX('SL bán theo ngày'!N$9:N$82,ROWS($A$11:$A20)),"")</f>
        <v/>
      </c>
      <c r="L20" s="49" t="str">
        <f t="array" aca="1" ref="L20" ca="1">IF(ROWS($A$11:$A20)&lt;=COUNTIF('SL bán theo ngày'!$A$9:$A$82,"?*"),INDEX('SL bán theo ngày'!O$9:O$82,ROWS($A$11:$A20)),"")</f>
        <v/>
      </c>
      <c r="M20" s="49" t="str">
        <f t="array" aca="1" ref="M20" ca="1">IF(ROWS($A$11:$A20)&lt;=COUNTIF('SL bán theo ngày'!$A$9:$A$82,"?*"),INDEX('SL bán theo ngày'!P$9:P$82,ROWS($A$11:$A20)),"")</f>
        <v/>
      </c>
      <c r="N20" s="49" t="str">
        <f t="array" aca="1" ref="N20" ca="1">IF(ROWS($A$11:$A20)&lt;=COUNTIF('SL bán theo ngày'!$A$9:$A$82,"?*"),INDEX('SL bán theo ngày'!Q$9:Q$82,ROWS($A$11:$A20)),"")</f>
        <v/>
      </c>
      <c r="O20" s="49" t="str">
        <f t="array" aca="1" ref="O20" ca="1">IF(ROWS($A$11:$A20)&lt;=COUNTIF('SL bán theo ngày'!$A$9:$A$82,"?*"),INDEX('SL bán theo ngày'!R$9:R$82,ROWS($A$11:$A20)),"")</f>
        <v/>
      </c>
      <c r="P20" s="49" t="str">
        <f t="array" aca="1" ref="P20" ca="1">IF(ROWS($A$11:$A20)&lt;=COUNTIF('SL bán theo ngày'!$A$9:$A$82,"?*"),INDEX('SL bán theo ngày'!S$9:S$82,ROWS($A$11:$A20)),"")</f>
        <v/>
      </c>
      <c r="Q20" s="49" t="str">
        <f t="array" aca="1" ref="Q20" ca="1">IF(ROWS($A$11:$A20)&lt;=COUNTIF('SL bán theo ngày'!$A$9:$A$82,"?*"),INDEX('SL bán theo ngày'!T$9:T$82,ROWS($A$11:$A20)),"")</f>
        <v/>
      </c>
      <c r="R20" s="49" t="str">
        <f t="array" aca="1" ref="R20" ca="1">IF(ROWS($A$11:$A20)&lt;=COUNTIF('SL bán theo ngày'!$A$9:$A$82,"?*"),INDEX('SL bán theo ngày'!U$9:U$82,ROWS($A$11:$A20)),"")</f>
        <v/>
      </c>
      <c r="S20" s="49" t="str">
        <f t="array" aca="1" ref="S20" ca="1">IF(ROWS($A$11:$A20)&lt;=COUNTIF('SL bán theo ngày'!$A$9:$A$82,"?*"),INDEX('SL bán theo ngày'!V$9:V$82,ROWS($A$11:$A20)),"")</f>
        <v/>
      </c>
      <c r="T20" s="49" t="str">
        <f t="array" aca="1" ref="T20" ca="1">IF(ROWS($A$11:$A20)&lt;=COUNTIF('SL bán theo ngày'!$A$9:$A$82,"?*"),INDEX('SL bán theo ngày'!W$9:W$82,ROWS($A$11:$A20)),"")</f>
        <v/>
      </c>
      <c r="U20" s="49" t="str">
        <f t="array" aca="1" ref="U20" ca="1">IF(ROWS($A$11:$A20)&lt;=COUNTIF('SL bán theo ngày'!$A$9:$A$82,"?*"),INDEX('SL bán theo ngày'!X$9:X$82,ROWS($A$11:$A20)),"")</f>
        <v/>
      </c>
      <c r="V20" s="49" t="str">
        <f t="array" aca="1" ref="V20" ca="1">IF(ROWS($A$11:$A20)&lt;=COUNTIF('SL bán theo ngày'!$A$9:$A$82,"?*"),INDEX('SL bán theo ngày'!Y$9:Y$82,ROWS($A$11:$A20)),"")</f>
        <v/>
      </c>
      <c r="W20" s="49" t="str">
        <f t="array" aca="1" ref="W20" ca="1">IF(ROWS($A$11:$A20)&lt;=COUNTIF('SL bán theo ngày'!$A$9:$A$82,"?*"),INDEX('SL bán theo ngày'!Z$9:Z$82,ROWS($A$11:$A20)),"")</f>
        <v/>
      </c>
      <c r="X20" s="49" t="str">
        <f t="array" aca="1" ref="X20" ca="1">IF(ROWS($A$11:$A20)&lt;=COUNTIF('SL bán theo ngày'!$A$9:$A$82,"?*"),INDEX('SL bán theo ngày'!AA$9:AA$82,ROWS($A$11:$A20)),"")</f>
        <v/>
      </c>
      <c r="Y20" s="49" t="str">
        <f t="array" aca="1" ref="Y20" ca="1">IF(ROWS($A$11:$A20)&lt;=COUNTIF('SL bán theo ngày'!$A$9:$A$82,"?*"),INDEX('SL bán theo ngày'!AB$9:AB$82,ROWS($A$11:$A20)),"")</f>
        <v/>
      </c>
      <c r="Z20" s="49" t="str">
        <f t="array" aca="1" ref="Z20" ca="1">IF(ROWS($A$11:$A20)&lt;=COUNTIF('SL bán theo ngày'!$A$9:$A$82,"?*"),INDEX('SL bán theo ngày'!AC$9:AC$82,ROWS($A$11:$A20)),"")</f>
        <v/>
      </c>
      <c r="AA20" s="49" t="str">
        <f t="array" aca="1" ref="AA20" ca="1">IF(ROWS($A$11:$A20)&lt;=COUNTIF('SL bán theo ngày'!$A$9:$A$82,"?*"),INDEX('SL bán theo ngày'!AD$9:AD$82,ROWS($A$11:$A20)),"")</f>
        <v/>
      </c>
      <c r="AB20" s="49" t="str">
        <f t="array" aca="1" ref="AB20" ca="1">IF(ROWS($A$11:$A20)&lt;=COUNTIF('SL bán theo ngày'!$A$9:$A$82,"?*"),INDEX('SL bán theo ngày'!AE$9:AE$82,ROWS($A$11:$A20)),"")</f>
        <v/>
      </c>
      <c r="AC20" s="49" t="str">
        <f t="array" aca="1" ref="AC20" ca="1">IF(ROWS($A$11:$A20)&lt;=COUNTIF('SL bán theo ngày'!$A$9:$A$82,"?*"),INDEX('SL bán theo ngày'!AF$9:AF$82,ROWS($A$11:$A20)),"")</f>
        <v/>
      </c>
      <c r="AD20" s="49" t="str">
        <f t="array" aca="1" ref="AD20" ca="1">IF(ROWS($A$11:$A20)&lt;=COUNTIF('SL bán theo ngày'!$A$9:$A$82,"?*"),INDEX('SL bán theo ngày'!AG$9:AG$82,ROWS($A$11:$A20)),"")</f>
        <v/>
      </c>
      <c r="AE20" s="49" t="str">
        <f t="array" aca="1" ref="AE20" ca="1">IF(ROWS($A$11:$A20)&lt;=COUNTIF('SL bán theo ngày'!$A$9:$A$82,"?*"),INDEX('SL bán theo ngày'!AH$9:AH$82,ROWS($A$11:$A20)),"")</f>
        <v/>
      </c>
      <c r="AF20" s="49" t="str">
        <f t="array" aca="1" ref="AF20" ca="1">IF(ROWS($A$11:$A20)&lt;=COUNTIF('SL bán theo ngày'!$A$9:$A$82,"?*"),INDEX('SL bán theo ngày'!AI$9:AI$82,ROWS($A$11:$A20)),"")</f>
        <v/>
      </c>
      <c r="AG20" s="49" t="str">
        <f t="array" aca="1" ref="AG20" ca="1">IF(ROWS($A$11:$A20)&lt;=COUNTIF('SL bán theo ngày'!$A$9:$A$82,"?*"),INDEX('SL bán theo ngày'!C$9:C$82,ROWS($A$11:$A20)),"")</f>
        <v>Gói</v>
      </c>
      <c r="AH20" s="74">
        <f t="array" aca="1" ref="AH20" ca="1">IF(ROWS($A$11:$A20)&lt;=COUNTIF('SL bán theo ngày'!$A$9:$A$82,"?*"),INDEX('SL bán theo ngày'!D$9:D$82,ROWS($A$11:$A20)),"")</f>
        <v>5500</v>
      </c>
      <c r="AI20" s="49">
        <f t="array" aca="1" ref="AI20" ca="1">IF(ROWS($A$11:$A20)&lt;=COUNTIF('SL bán theo ngày'!$A$9:$A$82,"?*"),INDEX('SL bán theo ngày'!E$9:E$82,ROWS($A$11:$A20)),"")</f>
        <v>144</v>
      </c>
      <c r="AJ20" s="49">
        <f t="array" aca="1" ref="AJ20" ca="1">IF(ROWS($A$11:$A20)&lt;=COUNTIF('SL bán theo ngày'!$A$9:$A$82,"?*"),INDEX('SL bán theo ngày'!AJ$9:AJ$82,ROWS($A$11:$A20)),"")</f>
        <v>135</v>
      </c>
      <c r="AK20" s="49">
        <f t="array" aca="1" ref="AK20" ca="1">IF(ROWS($A$11:$A20)&lt;=COUNTIF('SL bán theo ngày'!$A$9:$A$82,"?*"),INDEX('SL bán theo ngày'!AK$9:AK$82,ROWS($A$11:$A20)),"")</f>
        <v>9</v>
      </c>
    </row>
    <row r="21" spans="1:37" ht="15.75" customHeight="1" x14ac:dyDescent="0.25">
      <c r="A21" s="27" t="str">
        <f t="array" aca="1" ref="A21" ca="1">IF(ROWS($A$11:$A21)&lt;=COUNTIF('SL bán theo ngày'!$A$9:$A$82,"?*"),INDEX('SL bán theo ngày'!A$9:A$82,ROWS($A$11:$A21)),"")</f>
        <v>VP26_46</v>
      </c>
      <c r="B21" s="37" t="str">
        <f t="array" aca="1" ref="B21" ca="1">IF(ROWS($A$11:$A21)&lt;=COUNTIF('SL bán theo ngày'!$A$9:$A$82,"?*"),INDEX('SL bán theo ngày'!B$9:B$82,ROWS($A$11:$A21)),"")</f>
        <v>Nước ÉP THẠCH Suso (48 ly)</v>
      </c>
      <c r="C21" s="48">
        <f t="array" aca="1" ref="C21" ca="1">IF(ROWS($A$11:$A21)&lt;=COUNTIF('SL bán theo ngày'!$A$9:$A$82,"?*"),INDEX('SL bán theo ngày'!F$9:F$82,ROWS($A$11:$A21)),"")</f>
        <v>90</v>
      </c>
      <c r="D21" s="49">
        <f t="array" aca="1" ref="D21" ca="1">IF(ROWS($A$11:$A21)&lt;=COUNTIF('SL bán theo ngày'!$A$9:$A$82,"?*"),INDEX('SL bán theo ngày'!G$9:G$82,ROWS($A$11:$A21)),"")</f>
        <v>91</v>
      </c>
      <c r="E21" s="49">
        <f t="array" aca="1" ref="E21" ca="1">IF(ROWS($A$11:$A21)&lt;=COUNTIF('SL bán theo ngày'!$A$9:$A$82,"?*"),INDEX('SL bán theo ngày'!H$9:H$82,ROWS($A$11:$A21)),"")</f>
        <v>90</v>
      </c>
      <c r="F21" s="49">
        <f t="array" aca="1" ref="F21" ca="1">IF(ROWS($A$11:$A21)&lt;=COUNTIF('SL bán theo ngày'!$A$9:$A$82,"?*"),INDEX('SL bán theo ngày'!I$9:I$82,ROWS($A$11:$A21)),"")</f>
        <v>90</v>
      </c>
      <c r="G21" s="49">
        <f t="array" aca="1" ref="G21" ca="1">IF(ROWS($A$11:$A21)&lt;=COUNTIF('SL bán theo ngày'!$A$9:$A$82,"?*"),INDEX('SL bán theo ngày'!J$9:J$82,ROWS($A$11:$A21)),"")</f>
        <v>90</v>
      </c>
      <c r="H21" s="49" t="str">
        <f t="array" aca="1" ref="H21" ca="1">IF(ROWS($A$11:$A21)&lt;=COUNTIF('SL bán theo ngày'!$A$9:$A$82,"?*"),INDEX('SL bán theo ngày'!K$9:K$82,ROWS($A$11:$A21)),"")</f>
        <v/>
      </c>
      <c r="I21" s="49" t="str">
        <f t="array" aca="1" ref="I21" ca="1">IF(ROWS($A$11:$A21)&lt;=COUNTIF('SL bán theo ngày'!$A$9:$A$82,"?*"),INDEX('SL bán theo ngày'!L$9:L$82,ROWS($A$11:$A21)),"")</f>
        <v/>
      </c>
      <c r="J21" s="49" t="str">
        <f t="array" aca="1" ref="J21" ca="1">IF(ROWS($A$11:$A21)&lt;=COUNTIF('SL bán theo ngày'!$A$9:$A$82,"?*"),INDEX('SL bán theo ngày'!M$9:M$82,ROWS($A$11:$A21)),"")</f>
        <v/>
      </c>
      <c r="K21" s="49" t="str">
        <f t="array" aca="1" ref="K21" ca="1">IF(ROWS($A$11:$A21)&lt;=COUNTIF('SL bán theo ngày'!$A$9:$A$82,"?*"),INDEX('SL bán theo ngày'!N$9:N$82,ROWS($A$11:$A21)),"")</f>
        <v/>
      </c>
      <c r="L21" s="49" t="str">
        <f t="array" aca="1" ref="L21" ca="1">IF(ROWS($A$11:$A21)&lt;=COUNTIF('SL bán theo ngày'!$A$9:$A$82,"?*"),INDEX('SL bán theo ngày'!O$9:O$82,ROWS($A$11:$A21)),"")</f>
        <v/>
      </c>
      <c r="M21" s="49" t="str">
        <f t="array" aca="1" ref="M21" ca="1">IF(ROWS($A$11:$A21)&lt;=COUNTIF('SL bán theo ngày'!$A$9:$A$82,"?*"),INDEX('SL bán theo ngày'!P$9:P$82,ROWS($A$11:$A21)),"")</f>
        <v/>
      </c>
      <c r="N21" s="49" t="str">
        <f t="array" aca="1" ref="N21" ca="1">IF(ROWS($A$11:$A21)&lt;=COUNTIF('SL bán theo ngày'!$A$9:$A$82,"?*"),INDEX('SL bán theo ngày'!Q$9:Q$82,ROWS($A$11:$A21)),"")</f>
        <v/>
      </c>
      <c r="O21" s="49" t="str">
        <f t="array" aca="1" ref="O21" ca="1">IF(ROWS($A$11:$A21)&lt;=COUNTIF('SL bán theo ngày'!$A$9:$A$82,"?*"),INDEX('SL bán theo ngày'!R$9:R$82,ROWS($A$11:$A21)),"")</f>
        <v/>
      </c>
      <c r="P21" s="49" t="str">
        <f t="array" aca="1" ref="P21" ca="1">IF(ROWS($A$11:$A21)&lt;=COUNTIF('SL bán theo ngày'!$A$9:$A$82,"?*"),INDEX('SL bán theo ngày'!S$9:S$82,ROWS($A$11:$A21)),"")</f>
        <v/>
      </c>
      <c r="Q21" s="49" t="str">
        <f t="array" aca="1" ref="Q21" ca="1">IF(ROWS($A$11:$A21)&lt;=COUNTIF('SL bán theo ngày'!$A$9:$A$82,"?*"),INDEX('SL bán theo ngày'!T$9:T$82,ROWS($A$11:$A21)),"")</f>
        <v/>
      </c>
      <c r="R21" s="49" t="str">
        <f t="array" aca="1" ref="R21" ca="1">IF(ROWS($A$11:$A21)&lt;=COUNTIF('SL bán theo ngày'!$A$9:$A$82,"?*"),INDEX('SL bán theo ngày'!U$9:U$82,ROWS($A$11:$A21)),"")</f>
        <v/>
      </c>
      <c r="S21" s="49" t="str">
        <f t="array" aca="1" ref="S21" ca="1">IF(ROWS($A$11:$A21)&lt;=COUNTIF('SL bán theo ngày'!$A$9:$A$82,"?*"),INDEX('SL bán theo ngày'!V$9:V$82,ROWS($A$11:$A21)),"")</f>
        <v/>
      </c>
      <c r="T21" s="49" t="str">
        <f t="array" aca="1" ref="T21" ca="1">IF(ROWS($A$11:$A21)&lt;=COUNTIF('SL bán theo ngày'!$A$9:$A$82,"?*"),INDEX('SL bán theo ngày'!W$9:W$82,ROWS($A$11:$A21)),"")</f>
        <v/>
      </c>
      <c r="U21" s="49" t="str">
        <f t="array" aca="1" ref="U21" ca="1">IF(ROWS($A$11:$A21)&lt;=COUNTIF('SL bán theo ngày'!$A$9:$A$82,"?*"),INDEX('SL bán theo ngày'!X$9:X$82,ROWS($A$11:$A21)),"")</f>
        <v/>
      </c>
      <c r="V21" s="49" t="str">
        <f t="array" aca="1" ref="V21" ca="1">IF(ROWS($A$11:$A21)&lt;=COUNTIF('SL bán theo ngày'!$A$9:$A$82,"?*"),INDEX('SL bán theo ngày'!Y$9:Y$82,ROWS($A$11:$A21)),"")</f>
        <v/>
      </c>
      <c r="W21" s="49" t="str">
        <f t="array" aca="1" ref="W21" ca="1">IF(ROWS($A$11:$A21)&lt;=COUNTIF('SL bán theo ngày'!$A$9:$A$82,"?*"),INDEX('SL bán theo ngày'!Z$9:Z$82,ROWS($A$11:$A21)),"")</f>
        <v/>
      </c>
      <c r="X21" s="49" t="str">
        <f t="array" aca="1" ref="X21" ca="1">IF(ROWS($A$11:$A21)&lt;=COUNTIF('SL bán theo ngày'!$A$9:$A$82,"?*"),INDEX('SL bán theo ngày'!AA$9:AA$82,ROWS($A$11:$A21)),"")</f>
        <v/>
      </c>
      <c r="Y21" s="49" t="str">
        <f t="array" aca="1" ref="Y21" ca="1">IF(ROWS($A$11:$A21)&lt;=COUNTIF('SL bán theo ngày'!$A$9:$A$82,"?*"),INDEX('SL bán theo ngày'!AB$9:AB$82,ROWS($A$11:$A21)),"")</f>
        <v/>
      </c>
      <c r="Z21" s="49" t="str">
        <f t="array" aca="1" ref="Z21" ca="1">IF(ROWS($A$11:$A21)&lt;=COUNTIF('SL bán theo ngày'!$A$9:$A$82,"?*"),INDEX('SL bán theo ngày'!AC$9:AC$82,ROWS($A$11:$A21)),"")</f>
        <v/>
      </c>
      <c r="AA21" s="49" t="str">
        <f t="array" aca="1" ref="AA21" ca="1">IF(ROWS($A$11:$A21)&lt;=COUNTIF('SL bán theo ngày'!$A$9:$A$82,"?*"),INDEX('SL bán theo ngày'!AD$9:AD$82,ROWS($A$11:$A21)),"")</f>
        <v/>
      </c>
      <c r="AB21" s="49" t="str">
        <f t="array" aca="1" ref="AB21" ca="1">IF(ROWS($A$11:$A21)&lt;=COUNTIF('SL bán theo ngày'!$A$9:$A$82,"?*"),INDEX('SL bán theo ngày'!AE$9:AE$82,ROWS($A$11:$A21)),"")</f>
        <v/>
      </c>
      <c r="AC21" s="49" t="str">
        <f t="array" aca="1" ref="AC21" ca="1">IF(ROWS($A$11:$A21)&lt;=COUNTIF('SL bán theo ngày'!$A$9:$A$82,"?*"),INDEX('SL bán theo ngày'!AF$9:AF$82,ROWS($A$11:$A21)),"")</f>
        <v/>
      </c>
      <c r="AD21" s="49" t="str">
        <f t="array" aca="1" ref="AD21" ca="1">IF(ROWS($A$11:$A21)&lt;=COUNTIF('SL bán theo ngày'!$A$9:$A$82,"?*"),INDEX('SL bán theo ngày'!AG$9:AG$82,ROWS($A$11:$A21)),"")</f>
        <v/>
      </c>
      <c r="AE21" s="49" t="str">
        <f t="array" aca="1" ref="AE21" ca="1">IF(ROWS($A$11:$A21)&lt;=COUNTIF('SL bán theo ngày'!$A$9:$A$82,"?*"),INDEX('SL bán theo ngày'!AH$9:AH$82,ROWS($A$11:$A21)),"")</f>
        <v/>
      </c>
      <c r="AF21" s="49" t="str">
        <f t="array" aca="1" ref="AF21" ca="1">IF(ROWS($A$11:$A21)&lt;=COUNTIF('SL bán theo ngày'!$A$9:$A$82,"?*"),INDEX('SL bán theo ngày'!AI$9:AI$82,ROWS($A$11:$A21)),"")</f>
        <v/>
      </c>
      <c r="AG21" s="49" t="str">
        <f t="array" aca="1" ref="AG21" ca="1">IF(ROWS($A$11:$A21)&lt;=COUNTIF('SL bán theo ngày'!$A$9:$A$82,"?*"),INDEX('SL bán theo ngày'!C$9:C$82,ROWS($A$11:$A21)),"")</f>
        <v>Ly</v>
      </c>
      <c r="AH21" s="74">
        <f t="array" aca="1" ref="AH21" ca="1">IF(ROWS($A$11:$A21)&lt;=COUNTIF('SL bán theo ngày'!$A$9:$A$82,"?*"),INDEX('SL bán theo ngày'!D$9:D$82,ROWS($A$11:$A21)),"")</f>
        <v>3942</v>
      </c>
      <c r="AI21" s="49">
        <f t="array" aca="1" ref="AI21" ca="1">IF(ROWS($A$11:$A21)&lt;=COUNTIF('SL bán theo ngày'!$A$9:$A$82,"?*"),INDEX('SL bán theo ngày'!E$9:E$82,ROWS($A$11:$A21)),"")</f>
        <v>480</v>
      </c>
      <c r="AJ21" s="49">
        <f t="array" aca="1" ref="AJ21" ca="1">IF(ROWS($A$11:$A21)&lt;=COUNTIF('SL bán theo ngày'!$A$9:$A$82,"?*"),INDEX('SL bán theo ngày'!AJ$9:AJ$82,ROWS($A$11:$A21)),"")</f>
        <v>451</v>
      </c>
      <c r="AK21" s="49">
        <f t="array" aca="1" ref="AK21" ca="1">IF(ROWS($A$11:$A21)&lt;=COUNTIF('SL bán theo ngày'!$A$9:$A$82,"?*"),INDEX('SL bán theo ngày'!AK$9:AK$82,ROWS($A$11:$A21)),"")</f>
        <v>29</v>
      </c>
    </row>
    <row r="22" spans="1:37" ht="15.75" customHeight="1" x14ac:dyDescent="0.25">
      <c r="A22" s="27" t="str">
        <f t="array" aca="1" ref="A22" ca="1">IF(ROWS($A$11:$A22)&lt;=COUNTIF('SL bán theo ngày'!$A$9:$A$82,"?*"),INDEX('SL bán theo ngày'!A$9:A$82,ROWS($A$11:$A22)),"")</f>
        <v>VP26_47</v>
      </c>
      <c r="B22" s="37" t="str">
        <f t="array" aca="1" ref="B22" ca="1">IF(ROWS($A$11:$A22)&lt;=COUNTIF('SL bán theo ngày'!$A$9:$A$82,"?*"),INDEX('SL bán theo ngày'!B$9:B$82,ROWS($A$11:$A22)),"")</f>
        <v>Kẹo Cao Su Dinos 500g (69 viên)</v>
      </c>
      <c r="C22" s="48">
        <f t="array" aca="1" ref="C22" ca="1">IF(ROWS($A$11:$A22)&lt;=COUNTIF('SL bán theo ngày'!$A$9:$A$82,"?*"),INDEX('SL bán theo ngày'!F$9:F$82,ROWS($A$11:$A22)),"")</f>
        <v>143</v>
      </c>
      <c r="D22" s="49">
        <f t="array" aca="1" ref="D22" ca="1">IF(ROWS($A$11:$A22)&lt;=COUNTIF('SL bán theo ngày'!$A$9:$A$82,"?*"),INDEX('SL bán theo ngày'!G$9:G$82,ROWS($A$11:$A22)),"")</f>
        <v>144</v>
      </c>
      <c r="E22" s="49">
        <f t="array" aca="1" ref="E22" ca="1">IF(ROWS($A$11:$A22)&lt;=COUNTIF('SL bán theo ngày'!$A$9:$A$82,"?*"),INDEX('SL bán theo ngày'!H$9:H$82,ROWS($A$11:$A22)),"")</f>
        <v>143</v>
      </c>
      <c r="F22" s="49">
        <f t="array" aca="1" ref="F22" ca="1">IF(ROWS($A$11:$A22)&lt;=COUNTIF('SL bán theo ngày'!$A$9:$A$82,"?*"),INDEX('SL bán theo ngày'!I$9:I$82,ROWS($A$11:$A22)),"")</f>
        <v>142</v>
      </c>
      <c r="G22" s="49">
        <f t="array" aca="1" ref="G22" ca="1">IF(ROWS($A$11:$A22)&lt;=COUNTIF('SL bán theo ngày'!$A$9:$A$82,"?*"),INDEX('SL bán theo ngày'!J$9:J$82,ROWS($A$11:$A22)),"")</f>
        <v>141</v>
      </c>
      <c r="H22" s="49" t="str">
        <f t="array" aca="1" ref="H22" ca="1">IF(ROWS($A$11:$A22)&lt;=COUNTIF('SL bán theo ngày'!$A$9:$A$82,"?*"),INDEX('SL bán theo ngày'!K$9:K$82,ROWS($A$11:$A22)),"")</f>
        <v/>
      </c>
      <c r="I22" s="49" t="str">
        <f t="array" aca="1" ref="I22" ca="1">IF(ROWS($A$11:$A22)&lt;=COUNTIF('SL bán theo ngày'!$A$9:$A$82,"?*"),INDEX('SL bán theo ngày'!L$9:L$82,ROWS($A$11:$A22)),"")</f>
        <v/>
      </c>
      <c r="J22" s="49" t="str">
        <f t="array" aca="1" ref="J22" ca="1">IF(ROWS($A$11:$A22)&lt;=COUNTIF('SL bán theo ngày'!$A$9:$A$82,"?*"),INDEX('SL bán theo ngày'!M$9:M$82,ROWS($A$11:$A22)),"")</f>
        <v/>
      </c>
      <c r="K22" s="49" t="str">
        <f t="array" aca="1" ref="K22" ca="1">IF(ROWS($A$11:$A22)&lt;=COUNTIF('SL bán theo ngày'!$A$9:$A$82,"?*"),INDEX('SL bán theo ngày'!N$9:N$82,ROWS($A$11:$A22)),"")</f>
        <v/>
      </c>
      <c r="L22" s="49" t="str">
        <f t="array" aca="1" ref="L22" ca="1">IF(ROWS($A$11:$A22)&lt;=COUNTIF('SL bán theo ngày'!$A$9:$A$82,"?*"),INDEX('SL bán theo ngày'!O$9:O$82,ROWS($A$11:$A22)),"")</f>
        <v/>
      </c>
      <c r="M22" s="49" t="str">
        <f t="array" aca="1" ref="M22" ca="1">IF(ROWS($A$11:$A22)&lt;=COUNTIF('SL bán theo ngày'!$A$9:$A$82,"?*"),INDEX('SL bán theo ngày'!P$9:P$82,ROWS($A$11:$A22)),"")</f>
        <v/>
      </c>
      <c r="N22" s="49" t="str">
        <f t="array" aca="1" ref="N22" ca="1">IF(ROWS($A$11:$A22)&lt;=COUNTIF('SL bán theo ngày'!$A$9:$A$82,"?*"),INDEX('SL bán theo ngày'!Q$9:Q$82,ROWS($A$11:$A22)),"")</f>
        <v/>
      </c>
      <c r="O22" s="49" t="str">
        <f t="array" aca="1" ref="O22" ca="1">IF(ROWS($A$11:$A22)&lt;=COUNTIF('SL bán theo ngày'!$A$9:$A$82,"?*"),INDEX('SL bán theo ngày'!R$9:R$82,ROWS($A$11:$A22)),"")</f>
        <v/>
      </c>
      <c r="P22" s="49" t="str">
        <f t="array" aca="1" ref="P22" ca="1">IF(ROWS($A$11:$A22)&lt;=COUNTIF('SL bán theo ngày'!$A$9:$A$82,"?*"),INDEX('SL bán theo ngày'!S$9:S$82,ROWS($A$11:$A22)),"")</f>
        <v/>
      </c>
      <c r="Q22" s="49" t="str">
        <f t="array" aca="1" ref="Q22" ca="1">IF(ROWS($A$11:$A22)&lt;=COUNTIF('SL bán theo ngày'!$A$9:$A$82,"?*"),INDEX('SL bán theo ngày'!T$9:T$82,ROWS($A$11:$A22)),"")</f>
        <v/>
      </c>
      <c r="R22" s="49" t="str">
        <f t="array" aca="1" ref="R22" ca="1">IF(ROWS($A$11:$A22)&lt;=COUNTIF('SL bán theo ngày'!$A$9:$A$82,"?*"),INDEX('SL bán theo ngày'!U$9:U$82,ROWS($A$11:$A22)),"")</f>
        <v/>
      </c>
      <c r="S22" s="49" t="str">
        <f t="array" aca="1" ref="S22" ca="1">IF(ROWS($A$11:$A22)&lt;=COUNTIF('SL bán theo ngày'!$A$9:$A$82,"?*"),INDEX('SL bán theo ngày'!V$9:V$82,ROWS($A$11:$A22)),"")</f>
        <v/>
      </c>
      <c r="T22" s="49" t="str">
        <f t="array" aca="1" ref="T22" ca="1">IF(ROWS($A$11:$A22)&lt;=COUNTIF('SL bán theo ngày'!$A$9:$A$82,"?*"),INDEX('SL bán theo ngày'!W$9:W$82,ROWS($A$11:$A22)),"")</f>
        <v/>
      </c>
      <c r="U22" s="49" t="str">
        <f t="array" aca="1" ref="U22" ca="1">IF(ROWS($A$11:$A22)&lt;=COUNTIF('SL bán theo ngày'!$A$9:$A$82,"?*"),INDEX('SL bán theo ngày'!X$9:X$82,ROWS($A$11:$A22)),"")</f>
        <v/>
      </c>
      <c r="V22" s="49" t="str">
        <f t="array" aca="1" ref="V22" ca="1">IF(ROWS($A$11:$A22)&lt;=COUNTIF('SL bán theo ngày'!$A$9:$A$82,"?*"),INDEX('SL bán theo ngày'!Y$9:Y$82,ROWS($A$11:$A22)),"")</f>
        <v/>
      </c>
      <c r="W22" s="49" t="str">
        <f t="array" aca="1" ref="W22" ca="1">IF(ROWS($A$11:$A22)&lt;=COUNTIF('SL bán theo ngày'!$A$9:$A$82,"?*"),INDEX('SL bán theo ngày'!Z$9:Z$82,ROWS($A$11:$A22)),"")</f>
        <v/>
      </c>
      <c r="X22" s="49" t="str">
        <f t="array" aca="1" ref="X22" ca="1">IF(ROWS($A$11:$A22)&lt;=COUNTIF('SL bán theo ngày'!$A$9:$A$82,"?*"),INDEX('SL bán theo ngày'!AA$9:AA$82,ROWS($A$11:$A22)),"")</f>
        <v/>
      </c>
      <c r="Y22" s="49" t="str">
        <f t="array" aca="1" ref="Y22" ca="1">IF(ROWS($A$11:$A22)&lt;=COUNTIF('SL bán theo ngày'!$A$9:$A$82,"?*"),INDEX('SL bán theo ngày'!AB$9:AB$82,ROWS($A$11:$A22)),"")</f>
        <v/>
      </c>
      <c r="Z22" s="49" t="str">
        <f t="array" aca="1" ref="Z22" ca="1">IF(ROWS($A$11:$A22)&lt;=COUNTIF('SL bán theo ngày'!$A$9:$A$82,"?*"),INDEX('SL bán theo ngày'!AC$9:AC$82,ROWS($A$11:$A22)),"")</f>
        <v/>
      </c>
      <c r="AA22" s="49" t="str">
        <f t="array" aca="1" ref="AA22" ca="1">IF(ROWS($A$11:$A22)&lt;=COUNTIF('SL bán theo ngày'!$A$9:$A$82,"?*"),INDEX('SL bán theo ngày'!AD$9:AD$82,ROWS($A$11:$A22)),"")</f>
        <v/>
      </c>
      <c r="AB22" s="49" t="str">
        <f t="array" aca="1" ref="AB22" ca="1">IF(ROWS($A$11:$A22)&lt;=COUNTIF('SL bán theo ngày'!$A$9:$A$82,"?*"),INDEX('SL bán theo ngày'!AE$9:AE$82,ROWS($A$11:$A22)),"")</f>
        <v/>
      </c>
      <c r="AC22" s="49" t="str">
        <f t="array" aca="1" ref="AC22" ca="1">IF(ROWS($A$11:$A22)&lt;=COUNTIF('SL bán theo ngày'!$A$9:$A$82,"?*"),INDEX('SL bán theo ngày'!AF$9:AF$82,ROWS($A$11:$A22)),"")</f>
        <v/>
      </c>
      <c r="AD22" s="49" t="str">
        <f t="array" aca="1" ref="AD22" ca="1">IF(ROWS($A$11:$A22)&lt;=COUNTIF('SL bán theo ngày'!$A$9:$A$82,"?*"),INDEX('SL bán theo ngày'!AG$9:AG$82,ROWS($A$11:$A22)),"")</f>
        <v/>
      </c>
      <c r="AE22" s="49" t="str">
        <f t="array" aca="1" ref="AE22" ca="1">IF(ROWS($A$11:$A22)&lt;=COUNTIF('SL bán theo ngày'!$A$9:$A$82,"?*"),INDEX('SL bán theo ngày'!AH$9:AH$82,ROWS($A$11:$A22)),"")</f>
        <v/>
      </c>
      <c r="AF22" s="49" t="str">
        <f t="array" aca="1" ref="AF22" ca="1">IF(ROWS($A$11:$A22)&lt;=COUNTIF('SL bán theo ngày'!$A$9:$A$82,"?*"),INDEX('SL bán theo ngày'!AI$9:AI$82,ROWS($A$11:$A22)),"")</f>
        <v/>
      </c>
      <c r="AG22" s="49" t="str">
        <f t="array" aca="1" ref="AG22" ca="1">IF(ROWS($A$11:$A22)&lt;=COUNTIF('SL bán theo ngày'!$A$9:$A$82,"?*"),INDEX('SL bán theo ngày'!C$9:C$82,ROWS($A$11:$A22)),"")</f>
        <v>Viên</v>
      </c>
      <c r="AH22" s="74">
        <f t="array" aca="1" ref="AH22" ca="1">IF(ROWS($A$11:$A22)&lt;=COUNTIF('SL bán theo ngày'!$A$9:$A$82,"?*"),INDEX('SL bán theo ngày'!D$9:D$82,ROWS($A$11:$A22)),"")</f>
        <v>829</v>
      </c>
      <c r="AI22" s="49">
        <f t="array" aca="1" ref="AI22" ca="1">IF(ROWS($A$11:$A22)&lt;=COUNTIF('SL bán theo ngày'!$A$9:$A$82,"?*"),INDEX('SL bán theo ngày'!E$9:E$82,ROWS($A$11:$A22)),"")</f>
        <v>759</v>
      </c>
      <c r="AJ22" s="49">
        <f t="array" aca="1" ref="AJ22" ca="1">IF(ROWS($A$11:$A22)&lt;=COUNTIF('SL bán theo ngày'!$A$9:$A$82,"?*"),INDEX('SL bán theo ngày'!AJ$9:AJ$82,ROWS($A$11:$A22)),"")</f>
        <v>713</v>
      </c>
      <c r="AK22" s="49">
        <f t="array" aca="1" ref="AK22" ca="1">IF(ROWS($A$11:$A22)&lt;=COUNTIF('SL bán theo ngày'!$A$9:$A$82,"?*"),INDEX('SL bán theo ngày'!AK$9:AK$82,ROWS($A$11:$A22)),"")</f>
        <v>46</v>
      </c>
    </row>
    <row r="23" spans="1:37" ht="15.75" customHeight="1" x14ac:dyDescent="0.25">
      <c r="A23" s="27" t="str">
        <f t="array" aca="1" ref="A23" ca="1">IF(ROWS($A$11:$A23)&lt;=COUNTIF('SL bán theo ngày'!$A$9:$A$82,"?*"),INDEX('SL bán theo ngày'!A$9:A$82,ROWS($A$11:$A23)),"")</f>
        <v>VP26_49</v>
      </c>
      <c r="B23" s="37" t="str">
        <f t="array" aca="1" ref="B23" ca="1">IF(ROWS($A$11:$A23)&lt;=COUNTIF('SL bán theo ngày'!$A$9:$A$82,"?*"),INDEX('SL bán theo ngày'!B$9:B$82,ROWS($A$11:$A23)),"")</f>
        <v>Bánh Mứt Dâu Xá 4kg PC</v>
      </c>
      <c r="C23" s="48">
        <f t="array" aca="1" ref="C23" ca="1">IF(ROWS($A$11:$A23)&lt;=COUNTIF('SL bán theo ngày'!$A$9:$A$82,"?*"),INDEX('SL bán theo ngày'!F$9:F$82,ROWS($A$11:$A23)),"")</f>
        <v>1</v>
      </c>
      <c r="D23" s="49">
        <f t="array" aca="1" ref="D23" ca="1">IF(ROWS($A$11:$A23)&lt;=COUNTIF('SL bán theo ngày'!$A$9:$A$82,"?*"),INDEX('SL bán theo ngày'!G$9:G$82,ROWS($A$11:$A23)),"")</f>
        <v>0</v>
      </c>
      <c r="E23" s="49">
        <f t="array" aca="1" ref="E23" ca="1">IF(ROWS($A$11:$A23)&lt;=COUNTIF('SL bán theo ngày'!$A$9:$A$82,"?*"),INDEX('SL bán theo ngày'!H$9:H$82,ROWS($A$11:$A23)),"")</f>
        <v>1</v>
      </c>
      <c r="F23" s="49">
        <f t="array" aca="1" ref="F23" ca="1">IF(ROWS($A$11:$A23)&lt;=COUNTIF('SL bán theo ngày'!$A$9:$A$82,"?*"),INDEX('SL bán theo ngày'!I$9:I$82,ROWS($A$11:$A23)),"")</f>
        <v>0</v>
      </c>
      <c r="G23" s="49">
        <f t="array" aca="1" ref="G23" ca="1">IF(ROWS($A$11:$A23)&lt;=COUNTIF('SL bán theo ngày'!$A$9:$A$82,"?*"),INDEX('SL bán theo ngày'!J$9:J$82,ROWS($A$11:$A23)),"")</f>
        <v>1</v>
      </c>
      <c r="H23" s="49" t="str">
        <f t="array" aca="1" ref="H23" ca="1">IF(ROWS($A$11:$A23)&lt;=COUNTIF('SL bán theo ngày'!$A$9:$A$82,"?*"),INDEX('SL bán theo ngày'!K$9:K$82,ROWS($A$11:$A23)),"")</f>
        <v/>
      </c>
      <c r="I23" s="49" t="str">
        <f t="array" aca="1" ref="I23" ca="1">IF(ROWS($A$11:$A23)&lt;=COUNTIF('SL bán theo ngày'!$A$9:$A$82,"?*"),INDEX('SL bán theo ngày'!L$9:L$82,ROWS($A$11:$A23)),"")</f>
        <v/>
      </c>
      <c r="J23" s="49" t="str">
        <f t="array" aca="1" ref="J23" ca="1">IF(ROWS($A$11:$A23)&lt;=COUNTIF('SL bán theo ngày'!$A$9:$A$82,"?*"),INDEX('SL bán theo ngày'!M$9:M$82,ROWS($A$11:$A23)),"")</f>
        <v/>
      </c>
      <c r="K23" s="49" t="str">
        <f t="array" aca="1" ref="K23" ca="1">IF(ROWS($A$11:$A23)&lt;=COUNTIF('SL bán theo ngày'!$A$9:$A$82,"?*"),INDEX('SL bán theo ngày'!N$9:N$82,ROWS($A$11:$A23)),"")</f>
        <v/>
      </c>
      <c r="L23" s="49" t="str">
        <f t="array" aca="1" ref="L23" ca="1">IF(ROWS($A$11:$A23)&lt;=COUNTIF('SL bán theo ngày'!$A$9:$A$82,"?*"),INDEX('SL bán theo ngày'!O$9:O$82,ROWS($A$11:$A23)),"")</f>
        <v/>
      </c>
      <c r="M23" s="49" t="str">
        <f t="array" aca="1" ref="M23" ca="1">IF(ROWS($A$11:$A23)&lt;=COUNTIF('SL bán theo ngày'!$A$9:$A$82,"?*"),INDEX('SL bán theo ngày'!P$9:P$82,ROWS($A$11:$A23)),"")</f>
        <v/>
      </c>
      <c r="N23" s="49" t="str">
        <f t="array" aca="1" ref="N23" ca="1">IF(ROWS($A$11:$A23)&lt;=COUNTIF('SL bán theo ngày'!$A$9:$A$82,"?*"),INDEX('SL bán theo ngày'!Q$9:Q$82,ROWS($A$11:$A23)),"")</f>
        <v/>
      </c>
      <c r="O23" s="49" t="str">
        <f t="array" aca="1" ref="O23" ca="1">IF(ROWS($A$11:$A23)&lt;=COUNTIF('SL bán theo ngày'!$A$9:$A$82,"?*"),INDEX('SL bán theo ngày'!R$9:R$82,ROWS($A$11:$A23)),"")</f>
        <v/>
      </c>
      <c r="P23" s="49" t="str">
        <f t="array" aca="1" ref="P23" ca="1">IF(ROWS($A$11:$A23)&lt;=COUNTIF('SL bán theo ngày'!$A$9:$A$82,"?*"),INDEX('SL bán theo ngày'!S$9:S$82,ROWS($A$11:$A23)),"")</f>
        <v/>
      </c>
      <c r="Q23" s="49" t="str">
        <f t="array" aca="1" ref="Q23" ca="1">IF(ROWS($A$11:$A23)&lt;=COUNTIF('SL bán theo ngày'!$A$9:$A$82,"?*"),INDEX('SL bán theo ngày'!T$9:T$82,ROWS($A$11:$A23)),"")</f>
        <v/>
      </c>
      <c r="R23" s="49" t="str">
        <f t="array" aca="1" ref="R23" ca="1">IF(ROWS($A$11:$A23)&lt;=COUNTIF('SL bán theo ngày'!$A$9:$A$82,"?*"),INDEX('SL bán theo ngày'!U$9:U$82,ROWS($A$11:$A23)),"")</f>
        <v/>
      </c>
      <c r="S23" s="49" t="str">
        <f t="array" aca="1" ref="S23" ca="1">IF(ROWS($A$11:$A23)&lt;=COUNTIF('SL bán theo ngày'!$A$9:$A$82,"?*"),INDEX('SL bán theo ngày'!V$9:V$82,ROWS($A$11:$A23)),"")</f>
        <v/>
      </c>
      <c r="T23" s="49" t="str">
        <f t="array" aca="1" ref="T23" ca="1">IF(ROWS($A$11:$A23)&lt;=COUNTIF('SL bán theo ngày'!$A$9:$A$82,"?*"),INDEX('SL bán theo ngày'!W$9:W$82,ROWS($A$11:$A23)),"")</f>
        <v/>
      </c>
      <c r="U23" s="49" t="str">
        <f t="array" aca="1" ref="U23" ca="1">IF(ROWS($A$11:$A23)&lt;=COUNTIF('SL bán theo ngày'!$A$9:$A$82,"?*"),INDEX('SL bán theo ngày'!X$9:X$82,ROWS($A$11:$A23)),"")</f>
        <v/>
      </c>
      <c r="V23" s="49" t="str">
        <f t="array" aca="1" ref="V23" ca="1">IF(ROWS($A$11:$A23)&lt;=COUNTIF('SL bán theo ngày'!$A$9:$A$82,"?*"),INDEX('SL bán theo ngày'!Y$9:Y$82,ROWS($A$11:$A23)),"")</f>
        <v/>
      </c>
      <c r="W23" s="49" t="str">
        <f t="array" aca="1" ref="W23" ca="1">IF(ROWS($A$11:$A23)&lt;=COUNTIF('SL bán theo ngày'!$A$9:$A$82,"?*"),INDEX('SL bán theo ngày'!Z$9:Z$82,ROWS($A$11:$A23)),"")</f>
        <v/>
      </c>
      <c r="X23" s="49" t="str">
        <f t="array" aca="1" ref="X23" ca="1">IF(ROWS($A$11:$A23)&lt;=COUNTIF('SL bán theo ngày'!$A$9:$A$82,"?*"),INDEX('SL bán theo ngày'!AA$9:AA$82,ROWS($A$11:$A23)),"")</f>
        <v/>
      </c>
      <c r="Y23" s="49" t="str">
        <f t="array" aca="1" ref="Y23" ca="1">IF(ROWS($A$11:$A23)&lt;=COUNTIF('SL bán theo ngày'!$A$9:$A$82,"?*"),INDEX('SL bán theo ngày'!AB$9:AB$82,ROWS($A$11:$A23)),"")</f>
        <v/>
      </c>
      <c r="Z23" s="49" t="str">
        <f t="array" aca="1" ref="Z23" ca="1">IF(ROWS($A$11:$A23)&lt;=COUNTIF('SL bán theo ngày'!$A$9:$A$82,"?*"),INDEX('SL bán theo ngày'!AC$9:AC$82,ROWS($A$11:$A23)),"")</f>
        <v/>
      </c>
      <c r="AA23" s="49" t="str">
        <f t="array" aca="1" ref="AA23" ca="1">IF(ROWS($A$11:$A23)&lt;=COUNTIF('SL bán theo ngày'!$A$9:$A$82,"?*"),INDEX('SL bán theo ngày'!AD$9:AD$82,ROWS($A$11:$A23)),"")</f>
        <v/>
      </c>
      <c r="AB23" s="49" t="str">
        <f t="array" aca="1" ref="AB23" ca="1">IF(ROWS($A$11:$A23)&lt;=COUNTIF('SL bán theo ngày'!$A$9:$A$82,"?*"),INDEX('SL bán theo ngày'!AE$9:AE$82,ROWS($A$11:$A23)),"")</f>
        <v/>
      </c>
      <c r="AC23" s="49" t="str">
        <f t="array" aca="1" ref="AC23" ca="1">IF(ROWS($A$11:$A23)&lt;=COUNTIF('SL bán theo ngày'!$A$9:$A$82,"?*"),INDEX('SL bán theo ngày'!AF$9:AF$82,ROWS($A$11:$A23)),"")</f>
        <v/>
      </c>
      <c r="AD23" s="49" t="str">
        <f t="array" aca="1" ref="AD23" ca="1">IF(ROWS($A$11:$A23)&lt;=COUNTIF('SL bán theo ngày'!$A$9:$A$82,"?*"),INDEX('SL bán theo ngày'!AG$9:AG$82,ROWS($A$11:$A23)),"")</f>
        <v/>
      </c>
      <c r="AE23" s="49" t="str">
        <f t="array" aca="1" ref="AE23" ca="1">IF(ROWS($A$11:$A23)&lt;=COUNTIF('SL bán theo ngày'!$A$9:$A$82,"?*"),INDEX('SL bán theo ngày'!AH$9:AH$82,ROWS($A$11:$A23)),"")</f>
        <v/>
      </c>
      <c r="AF23" s="49" t="str">
        <f t="array" aca="1" ref="AF23" ca="1">IF(ROWS($A$11:$A23)&lt;=COUNTIF('SL bán theo ngày'!$A$9:$A$82,"?*"),INDEX('SL bán theo ngày'!AI$9:AI$82,ROWS($A$11:$A23)),"")</f>
        <v/>
      </c>
      <c r="AG23" s="49" t="str">
        <f t="array" aca="1" ref="AG23" ca="1">IF(ROWS($A$11:$A23)&lt;=COUNTIF('SL bán theo ngày'!$A$9:$A$82,"?*"),INDEX('SL bán theo ngày'!C$9:C$82,ROWS($A$11:$A23)),"")</f>
        <v>kg</v>
      </c>
      <c r="AH23" s="74">
        <f t="array" aca="1" ref="AH23" ca="1">IF(ROWS($A$11:$A23)&lt;=COUNTIF('SL bán theo ngày'!$A$9:$A$82,"?*"),INDEX('SL bán theo ngày'!D$9:D$82,ROWS($A$11:$A23)),"")</f>
        <v>61875</v>
      </c>
      <c r="AI23" s="49">
        <f t="array" aca="1" ref="AI23" ca="1">IF(ROWS($A$11:$A23)&lt;=COUNTIF('SL bán theo ngày'!$A$9:$A$82,"?*"),INDEX('SL bán theo ngày'!E$9:E$82,ROWS($A$11:$A23)),"")</f>
        <v>4</v>
      </c>
      <c r="AJ23" s="49">
        <f t="array" aca="1" ref="AJ23" ca="1">IF(ROWS($A$11:$A23)&lt;=COUNTIF('SL bán theo ngày'!$A$9:$A$82,"?*"),INDEX('SL bán theo ngày'!AJ$9:AJ$82,ROWS($A$11:$A23)),"")</f>
        <v>3</v>
      </c>
      <c r="AK23" s="49">
        <f t="array" aca="1" ref="AK23" ca="1">IF(ROWS($A$11:$A23)&lt;=COUNTIF('SL bán theo ngày'!$A$9:$A$82,"?*"),INDEX('SL bán theo ngày'!AK$9:AK$82,ROWS($A$11:$A23)),"")</f>
        <v>1</v>
      </c>
    </row>
    <row r="24" spans="1:37" ht="15.75" customHeight="1" x14ac:dyDescent="0.25">
      <c r="A24" s="27" t="str">
        <f t="array" aca="1" ref="A24" ca="1">IF(ROWS($A$11:$A24)&lt;=COUNTIF('SL bán theo ngày'!$A$9:$A$82,"?*"),INDEX('SL bán theo ngày'!A$9:A$82,ROWS($A$11:$A24)),"")</f>
        <v>VP26_50</v>
      </c>
      <c r="B24" s="37" t="str">
        <f t="array" aca="1" ref="B24" ca="1">IF(ROWS($A$11:$A24)&lt;=COUNTIF('SL bán theo ngày'!$A$9:$A$82,"?*"),INDEX('SL bán theo ngày'!B$9:B$82,ROWS($A$11:$A24)),"")</f>
        <v>Nước Túi Oishi (10 túi x 5 bịch / T)</v>
      </c>
      <c r="C24" s="48">
        <f t="array" aca="1" ref="C24" ca="1">IF(ROWS($A$11:$A24)&lt;=COUNTIF('SL bán theo ngày'!$A$9:$A$82,"?*"),INDEX('SL bán theo ngày'!F$9:F$82,ROWS($A$11:$A24)),"")</f>
        <v>95</v>
      </c>
      <c r="D24" s="49">
        <f t="array" aca="1" ref="D24" ca="1">IF(ROWS($A$11:$A24)&lt;=COUNTIF('SL bán theo ngày'!$A$9:$A$82,"?*"),INDEX('SL bán theo ngày'!G$9:G$82,ROWS($A$11:$A24)),"")</f>
        <v>94</v>
      </c>
      <c r="E24" s="49">
        <f t="array" aca="1" ref="E24" ca="1">IF(ROWS($A$11:$A24)&lt;=COUNTIF('SL bán theo ngày'!$A$9:$A$82,"?*"),INDEX('SL bán theo ngày'!H$9:H$82,ROWS($A$11:$A24)),"")</f>
        <v>94</v>
      </c>
      <c r="F24" s="49">
        <f t="array" aca="1" ref="F24" ca="1">IF(ROWS($A$11:$A24)&lt;=COUNTIF('SL bán theo ngày'!$A$9:$A$82,"?*"),INDEX('SL bán theo ngày'!I$9:I$82,ROWS($A$11:$A24)),"")</f>
        <v>93</v>
      </c>
      <c r="G24" s="49">
        <f t="array" aca="1" ref="G24" ca="1">IF(ROWS($A$11:$A24)&lt;=COUNTIF('SL bán theo ngày'!$A$9:$A$82,"?*"),INDEX('SL bán theo ngày'!J$9:J$82,ROWS($A$11:$A24)),"")</f>
        <v>94</v>
      </c>
      <c r="H24" s="49" t="str">
        <f t="array" aca="1" ref="H24" ca="1">IF(ROWS($A$11:$A24)&lt;=COUNTIF('SL bán theo ngày'!$A$9:$A$82,"?*"),INDEX('SL bán theo ngày'!K$9:K$82,ROWS($A$11:$A24)),"")</f>
        <v/>
      </c>
      <c r="I24" s="49" t="str">
        <f t="array" aca="1" ref="I24" ca="1">IF(ROWS($A$11:$A24)&lt;=COUNTIF('SL bán theo ngày'!$A$9:$A$82,"?*"),INDEX('SL bán theo ngày'!L$9:L$82,ROWS($A$11:$A24)),"")</f>
        <v/>
      </c>
      <c r="J24" s="49" t="str">
        <f t="array" aca="1" ref="J24" ca="1">IF(ROWS($A$11:$A24)&lt;=COUNTIF('SL bán theo ngày'!$A$9:$A$82,"?*"),INDEX('SL bán theo ngày'!M$9:M$82,ROWS($A$11:$A24)),"")</f>
        <v/>
      </c>
      <c r="K24" s="49" t="str">
        <f t="array" aca="1" ref="K24" ca="1">IF(ROWS($A$11:$A24)&lt;=COUNTIF('SL bán theo ngày'!$A$9:$A$82,"?*"),INDEX('SL bán theo ngày'!N$9:N$82,ROWS($A$11:$A24)),"")</f>
        <v/>
      </c>
      <c r="L24" s="49" t="str">
        <f t="array" aca="1" ref="L24" ca="1">IF(ROWS($A$11:$A24)&lt;=COUNTIF('SL bán theo ngày'!$A$9:$A$82,"?*"),INDEX('SL bán theo ngày'!O$9:O$82,ROWS($A$11:$A24)),"")</f>
        <v/>
      </c>
      <c r="M24" s="49" t="str">
        <f t="array" aca="1" ref="M24" ca="1">IF(ROWS($A$11:$A24)&lt;=COUNTIF('SL bán theo ngày'!$A$9:$A$82,"?*"),INDEX('SL bán theo ngày'!P$9:P$82,ROWS($A$11:$A24)),"")</f>
        <v/>
      </c>
      <c r="N24" s="49" t="str">
        <f t="array" aca="1" ref="N24" ca="1">IF(ROWS($A$11:$A24)&lt;=COUNTIF('SL bán theo ngày'!$A$9:$A$82,"?*"),INDEX('SL bán theo ngày'!Q$9:Q$82,ROWS($A$11:$A24)),"")</f>
        <v/>
      </c>
      <c r="O24" s="49" t="str">
        <f t="array" aca="1" ref="O24" ca="1">IF(ROWS($A$11:$A24)&lt;=COUNTIF('SL bán theo ngày'!$A$9:$A$82,"?*"),INDEX('SL bán theo ngày'!R$9:R$82,ROWS($A$11:$A24)),"")</f>
        <v/>
      </c>
      <c r="P24" s="49" t="str">
        <f t="array" aca="1" ref="P24" ca="1">IF(ROWS($A$11:$A24)&lt;=COUNTIF('SL bán theo ngày'!$A$9:$A$82,"?*"),INDEX('SL bán theo ngày'!S$9:S$82,ROWS($A$11:$A24)),"")</f>
        <v/>
      </c>
      <c r="Q24" s="49" t="str">
        <f t="array" aca="1" ref="Q24" ca="1">IF(ROWS($A$11:$A24)&lt;=COUNTIF('SL bán theo ngày'!$A$9:$A$82,"?*"),INDEX('SL bán theo ngày'!T$9:T$82,ROWS($A$11:$A24)),"")</f>
        <v/>
      </c>
      <c r="R24" s="49" t="str">
        <f t="array" aca="1" ref="R24" ca="1">IF(ROWS($A$11:$A24)&lt;=COUNTIF('SL bán theo ngày'!$A$9:$A$82,"?*"),INDEX('SL bán theo ngày'!U$9:U$82,ROWS($A$11:$A24)),"")</f>
        <v/>
      </c>
      <c r="S24" s="49" t="str">
        <f t="array" aca="1" ref="S24" ca="1">IF(ROWS($A$11:$A24)&lt;=COUNTIF('SL bán theo ngày'!$A$9:$A$82,"?*"),INDEX('SL bán theo ngày'!V$9:V$82,ROWS($A$11:$A24)),"")</f>
        <v/>
      </c>
      <c r="T24" s="49" t="str">
        <f t="array" aca="1" ref="T24" ca="1">IF(ROWS($A$11:$A24)&lt;=COUNTIF('SL bán theo ngày'!$A$9:$A$82,"?*"),INDEX('SL bán theo ngày'!W$9:W$82,ROWS($A$11:$A24)),"")</f>
        <v/>
      </c>
      <c r="U24" s="49" t="str">
        <f t="array" aca="1" ref="U24" ca="1">IF(ROWS($A$11:$A24)&lt;=COUNTIF('SL bán theo ngày'!$A$9:$A$82,"?*"),INDEX('SL bán theo ngày'!X$9:X$82,ROWS($A$11:$A24)),"")</f>
        <v/>
      </c>
      <c r="V24" s="49" t="str">
        <f t="array" aca="1" ref="V24" ca="1">IF(ROWS($A$11:$A24)&lt;=COUNTIF('SL bán theo ngày'!$A$9:$A$82,"?*"),INDEX('SL bán theo ngày'!Y$9:Y$82,ROWS($A$11:$A24)),"")</f>
        <v/>
      </c>
      <c r="W24" s="49" t="str">
        <f t="array" aca="1" ref="W24" ca="1">IF(ROWS($A$11:$A24)&lt;=COUNTIF('SL bán theo ngày'!$A$9:$A$82,"?*"),INDEX('SL bán theo ngày'!Z$9:Z$82,ROWS($A$11:$A24)),"")</f>
        <v/>
      </c>
      <c r="X24" s="49" t="str">
        <f t="array" aca="1" ref="X24" ca="1">IF(ROWS($A$11:$A24)&lt;=COUNTIF('SL bán theo ngày'!$A$9:$A$82,"?*"),INDEX('SL bán theo ngày'!AA$9:AA$82,ROWS($A$11:$A24)),"")</f>
        <v/>
      </c>
      <c r="Y24" s="49" t="str">
        <f t="array" aca="1" ref="Y24" ca="1">IF(ROWS($A$11:$A24)&lt;=COUNTIF('SL bán theo ngày'!$A$9:$A$82,"?*"),INDEX('SL bán theo ngày'!AB$9:AB$82,ROWS($A$11:$A24)),"")</f>
        <v/>
      </c>
      <c r="Z24" s="49" t="str">
        <f t="array" aca="1" ref="Z24" ca="1">IF(ROWS($A$11:$A24)&lt;=COUNTIF('SL bán theo ngày'!$A$9:$A$82,"?*"),INDEX('SL bán theo ngày'!AC$9:AC$82,ROWS($A$11:$A24)),"")</f>
        <v/>
      </c>
      <c r="AA24" s="49" t="str">
        <f t="array" aca="1" ref="AA24" ca="1">IF(ROWS($A$11:$A24)&lt;=COUNTIF('SL bán theo ngày'!$A$9:$A$82,"?*"),INDEX('SL bán theo ngày'!AD$9:AD$82,ROWS($A$11:$A24)),"")</f>
        <v/>
      </c>
      <c r="AB24" s="49" t="str">
        <f t="array" aca="1" ref="AB24" ca="1">IF(ROWS($A$11:$A24)&lt;=COUNTIF('SL bán theo ngày'!$A$9:$A$82,"?*"),INDEX('SL bán theo ngày'!AE$9:AE$82,ROWS($A$11:$A24)),"")</f>
        <v/>
      </c>
      <c r="AC24" s="49" t="str">
        <f t="array" aca="1" ref="AC24" ca="1">IF(ROWS($A$11:$A24)&lt;=COUNTIF('SL bán theo ngày'!$A$9:$A$82,"?*"),INDEX('SL bán theo ngày'!AF$9:AF$82,ROWS($A$11:$A24)),"")</f>
        <v/>
      </c>
      <c r="AD24" s="49" t="str">
        <f t="array" aca="1" ref="AD24" ca="1">IF(ROWS($A$11:$A24)&lt;=COUNTIF('SL bán theo ngày'!$A$9:$A$82,"?*"),INDEX('SL bán theo ngày'!AG$9:AG$82,ROWS($A$11:$A24)),"")</f>
        <v/>
      </c>
      <c r="AE24" s="49" t="str">
        <f t="array" aca="1" ref="AE24" ca="1">IF(ROWS($A$11:$A24)&lt;=COUNTIF('SL bán theo ngày'!$A$9:$A$82,"?*"),INDEX('SL bán theo ngày'!AH$9:AH$82,ROWS($A$11:$A24)),"")</f>
        <v/>
      </c>
      <c r="AF24" s="49" t="str">
        <f t="array" aca="1" ref="AF24" ca="1">IF(ROWS($A$11:$A24)&lt;=COUNTIF('SL bán theo ngày'!$A$9:$A$82,"?*"),INDEX('SL bán theo ngày'!AI$9:AI$82,ROWS($A$11:$A24)),"")</f>
        <v/>
      </c>
      <c r="AG24" s="49" t="str">
        <f t="array" aca="1" ref="AG24" ca="1">IF(ROWS($A$11:$A24)&lt;=COUNTIF('SL bán theo ngày'!$A$9:$A$82,"?*"),INDEX('SL bán theo ngày'!C$9:C$82,ROWS($A$11:$A24)),"")</f>
        <v>Túi</v>
      </c>
      <c r="AH24" s="74">
        <f t="array" aca="1" ref="AH24" ca="1">IF(ROWS($A$11:$A24)&lt;=COUNTIF('SL bán theo ngày'!$A$9:$A$82,"?*"),INDEX('SL bán theo ngày'!D$9:D$82,ROWS($A$11:$A24)),"")</f>
        <v>2560</v>
      </c>
      <c r="AI24" s="49">
        <f t="array" aca="1" ref="AI24" ca="1">IF(ROWS($A$11:$A24)&lt;=COUNTIF('SL bán theo ngày'!$A$9:$A$82,"?*"),INDEX('SL bán theo ngày'!E$9:E$82,ROWS($A$11:$A24)),"")</f>
        <v>500</v>
      </c>
      <c r="AJ24" s="49">
        <f t="array" aca="1" ref="AJ24" ca="1">IF(ROWS($A$11:$A24)&lt;=COUNTIF('SL bán theo ngày'!$A$9:$A$82,"?*"),INDEX('SL bán theo ngày'!AJ$9:AJ$82,ROWS($A$11:$A24)),"")</f>
        <v>470</v>
      </c>
      <c r="AK24" s="49">
        <f t="array" aca="1" ref="AK24" ca="1">IF(ROWS($A$11:$A24)&lt;=COUNTIF('SL bán theo ngày'!$A$9:$A$82,"?*"),INDEX('SL bán theo ngày'!AK$9:AK$82,ROWS($A$11:$A24)),"")</f>
        <v>30</v>
      </c>
    </row>
    <row r="25" spans="1:37" ht="15.75" customHeight="1" x14ac:dyDescent="0.25">
      <c r="A25" s="27" t="str">
        <f t="array" aca="1" ref="A25" ca="1">IF(ROWS($A$11:$A25)&lt;=COUNTIF('SL bán theo ngày'!$A$9:$A$82,"?*"),INDEX('SL bán theo ngày'!A$9:A$82,ROWS($A$11:$A25)),"")</f>
        <v/>
      </c>
      <c r="B25" s="37" t="str">
        <f t="array" aca="1" ref="B25" ca="1">IF(ROWS($A$11:$A25)&lt;=COUNTIF('SL bán theo ngày'!$A$9:$A$82,"?*"),INDEX('SL bán theo ngày'!B$9:B$82,ROWS($A$11:$A25)),"")</f>
        <v/>
      </c>
      <c r="C25" s="79" t="str">
        <f t="array" aca="1" ref="C25" ca="1">IF(ROWS($A$11:$A25)&lt;=COUNTIF('SL bán theo ngày'!$A$9:$A$82,"?*"),INDEX('SL bán theo ngày'!F$9:F$82,ROWS($A$11:$A25)),"")</f>
        <v/>
      </c>
      <c r="D25" s="49" t="str">
        <f t="array" aca="1" ref="D25" ca="1">IF(ROWS($A$11:$A25)&lt;=COUNTIF('SL bán theo ngày'!$A$9:$A$82,"?*"),INDEX('SL bán theo ngày'!G$9:G$82,ROWS($A$11:$A25)),"")</f>
        <v/>
      </c>
      <c r="E25" s="49" t="str">
        <f t="array" aca="1" ref="E25" ca="1">IF(ROWS($A$11:$A25)&lt;=COUNTIF('SL bán theo ngày'!$A$9:$A$82,"?*"),INDEX('SL bán theo ngày'!H$9:H$82,ROWS($A$11:$A25)),"")</f>
        <v/>
      </c>
      <c r="F25" s="49" t="str">
        <f t="array" aca="1" ref="F25" ca="1">IF(ROWS($A$11:$A25)&lt;=COUNTIF('SL bán theo ngày'!$A$9:$A$82,"?*"),INDEX('SL bán theo ngày'!I$9:I$82,ROWS($A$11:$A25)),"")</f>
        <v/>
      </c>
      <c r="G25" s="49" t="str">
        <f t="array" aca="1" ref="G25" ca="1">IF(ROWS($A$11:$A25)&lt;=COUNTIF('SL bán theo ngày'!$A$9:$A$82,"?*"),INDEX('SL bán theo ngày'!J$9:J$82,ROWS($A$11:$A25)),"")</f>
        <v/>
      </c>
      <c r="H25" s="49" t="str">
        <f t="array" aca="1" ref="H25" ca="1">IF(ROWS($A$11:$A25)&lt;=COUNTIF('SL bán theo ngày'!$A$9:$A$82,"?*"),INDEX('SL bán theo ngày'!K$9:K$82,ROWS($A$11:$A25)),"")</f>
        <v/>
      </c>
      <c r="I25" s="49" t="str">
        <f t="array" aca="1" ref="I25" ca="1">IF(ROWS($A$11:$A25)&lt;=COUNTIF('SL bán theo ngày'!$A$9:$A$82,"?*"),INDEX('SL bán theo ngày'!L$9:L$82,ROWS($A$11:$A25)),"")</f>
        <v/>
      </c>
      <c r="J25" s="49" t="str">
        <f t="array" aca="1" ref="J25" ca="1">IF(ROWS($A$11:$A25)&lt;=COUNTIF('SL bán theo ngày'!$A$9:$A$82,"?*"),INDEX('SL bán theo ngày'!M$9:M$82,ROWS($A$11:$A25)),"")</f>
        <v/>
      </c>
      <c r="K25" s="49" t="str">
        <f t="array" aca="1" ref="K25" ca="1">IF(ROWS($A$11:$A25)&lt;=COUNTIF('SL bán theo ngày'!$A$9:$A$82,"?*"),INDEX('SL bán theo ngày'!N$9:N$82,ROWS($A$11:$A25)),"")</f>
        <v/>
      </c>
      <c r="L25" s="49" t="str">
        <f t="array" aca="1" ref="L25" ca="1">IF(ROWS($A$11:$A25)&lt;=COUNTIF('SL bán theo ngày'!$A$9:$A$82,"?*"),INDEX('SL bán theo ngày'!O$9:O$82,ROWS($A$11:$A25)),"")</f>
        <v/>
      </c>
      <c r="M25" s="49" t="str">
        <f t="array" aca="1" ref="M25" ca="1">IF(ROWS($A$11:$A25)&lt;=COUNTIF('SL bán theo ngày'!$A$9:$A$82,"?*"),INDEX('SL bán theo ngày'!P$9:P$82,ROWS($A$11:$A25)),"")</f>
        <v/>
      </c>
      <c r="N25" s="49" t="str">
        <f t="array" aca="1" ref="N25" ca="1">IF(ROWS($A$11:$A25)&lt;=COUNTIF('SL bán theo ngày'!$A$9:$A$82,"?*"),INDEX('SL bán theo ngày'!Q$9:Q$82,ROWS($A$11:$A25)),"")</f>
        <v/>
      </c>
      <c r="O25" s="49" t="str">
        <f t="array" aca="1" ref="O25" ca="1">IF(ROWS($A$11:$A25)&lt;=COUNTIF('SL bán theo ngày'!$A$9:$A$82,"?*"),INDEX('SL bán theo ngày'!R$9:R$82,ROWS($A$11:$A25)),"")</f>
        <v/>
      </c>
      <c r="P25" s="49" t="str">
        <f t="array" aca="1" ref="P25" ca="1">IF(ROWS($A$11:$A25)&lt;=COUNTIF('SL bán theo ngày'!$A$9:$A$82,"?*"),INDEX('SL bán theo ngày'!S$9:S$82,ROWS($A$11:$A25)),"")</f>
        <v/>
      </c>
      <c r="Q25" s="49" t="str">
        <f t="array" aca="1" ref="Q25" ca="1">IF(ROWS($A$11:$A25)&lt;=COUNTIF('SL bán theo ngày'!$A$9:$A$82,"?*"),INDEX('SL bán theo ngày'!T$9:T$82,ROWS($A$11:$A25)),"")</f>
        <v/>
      </c>
      <c r="R25" s="49" t="str">
        <f t="array" aca="1" ref="R25" ca="1">IF(ROWS($A$11:$A25)&lt;=COUNTIF('SL bán theo ngày'!$A$9:$A$82,"?*"),INDEX('SL bán theo ngày'!U$9:U$82,ROWS($A$11:$A25)),"")</f>
        <v/>
      </c>
      <c r="S25" s="49" t="str">
        <f t="array" aca="1" ref="S25" ca="1">IF(ROWS($A$11:$A25)&lt;=COUNTIF('SL bán theo ngày'!$A$9:$A$82,"?*"),INDEX('SL bán theo ngày'!V$9:V$82,ROWS($A$11:$A25)),"")</f>
        <v/>
      </c>
      <c r="T25" s="49" t="str">
        <f t="array" aca="1" ref="T25" ca="1">IF(ROWS($A$11:$A25)&lt;=COUNTIF('SL bán theo ngày'!$A$9:$A$82,"?*"),INDEX('SL bán theo ngày'!W$9:W$82,ROWS($A$11:$A25)),"")</f>
        <v/>
      </c>
      <c r="U25" s="49" t="str">
        <f t="array" aca="1" ref="U25" ca="1">IF(ROWS($A$11:$A25)&lt;=COUNTIF('SL bán theo ngày'!$A$9:$A$82,"?*"),INDEX('SL bán theo ngày'!X$9:X$82,ROWS($A$11:$A25)),"")</f>
        <v/>
      </c>
      <c r="V25" s="49" t="str">
        <f t="array" aca="1" ref="V25" ca="1">IF(ROWS($A$11:$A25)&lt;=COUNTIF('SL bán theo ngày'!$A$9:$A$82,"?*"),INDEX('SL bán theo ngày'!Y$9:Y$82,ROWS($A$11:$A25)),"")</f>
        <v/>
      </c>
      <c r="W25" s="49" t="str">
        <f t="array" aca="1" ref="W25" ca="1">IF(ROWS($A$11:$A25)&lt;=COUNTIF('SL bán theo ngày'!$A$9:$A$82,"?*"),INDEX('SL bán theo ngày'!Z$9:Z$82,ROWS($A$11:$A25)),"")</f>
        <v/>
      </c>
      <c r="X25" s="49" t="str">
        <f t="array" aca="1" ref="X25" ca="1">IF(ROWS($A$11:$A25)&lt;=COUNTIF('SL bán theo ngày'!$A$9:$A$82,"?*"),INDEX('SL bán theo ngày'!AA$9:AA$82,ROWS($A$11:$A25)),"")</f>
        <v/>
      </c>
      <c r="Y25" s="49" t="str">
        <f t="array" aca="1" ref="Y25" ca="1">IF(ROWS($A$11:$A25)&lt;=COUNTIF('SL bán theo ngày'!$A$9:$A$82,"?*"),INDEX('SL bán theo ngày'!AB$9:AB$82,ROWS($A$11:$A25)),"")</f>
        <v/>
      </c>
      <c r="Z25" s="49" t="str">
        <f t="array" aca="1" ref="Z25" ca="1">IF(ROWS($A$11:$A25)&lt;=COUNTIF('SL bán theo ngày'!$A$9:$A$82,"?*"),INDEX('SL bán theo ngày'!AC$9:AC$82,ROWS($A$11:$A25)),"")</f>
        <v/>
      </c>
      <c r="AA25" s="49" t="str">
        <f t="array" aca="1" ref="AA25" ca="1">IF(ROWS($A$11:$A25)&lt;=COUNTIF('SL bán theo ngày'!$A$9:$A$82,"?*"),INDEX('SL bán theo ngày'!AD$9:AD$82,ROWS($A$11:$A25)),"")</f>
        <v/>
      </c>
      <c r="AB25" s="49" t="str">
        <f t="array" aca="1" ref="AB25" ca="1">IF(ROWS($A$11:$A25)&lt;=COUNTIF('SL bán theo ngày'!$A$9:$A$82,"?*"),INDEX('SL bán theo ngày'!AE$9:AE$82,ROWS($A$11:$A25)),"")</f>
        <v/>
      </c>
      <c r="AC25" s="49" t="str">
        <f t="array" aca="1" ref="AC25" ca="1">IF(ROWS($A$11:$A25)&lt;=COUNTIF('SL bán theo ngày'!$A$9:$A$82,"?*"),INDEX('SL bán theo ngày'!AF$9:AF$82,ROWS($A$11:$A25)),"")</f>
        <v/>
      </c>
      <c r="AD25" s="49" t="str">
        <f t="array" aca="1" ref="AD25" ca="1">IF(ROWS($A$11:$A25)&lt;=COUNTIF('SL bán theo ngày'!$A$9:$A$82,"?*"),INDEX('SL bán theo ngày'!AG$9:AG$82,ROWS($A$11:$A25)),"")</f>
        <v/>
      </c>
      <c r="AE25" s="49" t="str">
        <f t="array" aca="1" ref="AE25" ca="1">IF(ROWS($A$11:$A25)&lt;=COUNTIF('SL bán theo ngày'!$A$9:$A$82,"?*"),INDEX('SL bán theo ngày'!AH$9:AH$82,ROWS($A$11:$A25)),"")</f>
        <v/>
      </c>
      <c r="AF25" s="49" t="str">
        <f t="array" aca="1" ref="AF25" ca="1">IF(ROWS($A$11:$A25)&lt;=COUNTIF('SL bán theo ngày'!$A$9:$A$82,"?*"),INDEX('SL bán theo ngày'!AI$9:AI$82,ROWS($A$11:$A25)),"")</f>
        <v/>
      </c>
      <c r="AG25" s="49" t="str">
        <f t="array" aca="1" ref="AG25" ca="1">IF(ROWS($A$11:$A25)&lt;=COUNTIF('SL bán theo ngày'!$A$9:$A$82,"?*"),INDEX('SL bán theo ngày'!C$9:C$82,ROWS($A$11:$A25)),"")</f>
        <v/>
      </c>
      <c r="AH25" s="74" t="str">
        <f t="array" aca="1" ref="AH25" ca="1">IF(ROWS($A$11:$A25)&lt;=COUNTIF('SL bán theo ngày'!$A$9:$A$82,"?*"),INDEX('SL bán theo ngày'!D$9:D$82,ROWS($A$11:$A25)),"")</f>
        <v/>
      </c>
      <c r="AI25" s="49" t="str">
        <f t="array" aca="1" ref="AI25" ca="1">IF(ROWS($A$11:$A25)&lt;=COUNTIF('SL bán theo ngày'!$A$9:$A$82,"?*"),INDEX('SL bán theo ngày'!E$9:E$82,ROWS($A$11:$A25)),"")</f>
        <v/>
      </c>
      <c r="AJ25" s="49" t="str">
        <f t="array" aca="1" ref="AJ25" ca="1">IF(ROWS($A$11:$A25)&lt;=COUNTIF('SL bán theo ngày'!$A$9:$A$82,"?*"),INDEX('SL bán theo ngày'!AJ$9:AJ$82,ROWS($A$11:$A25)),"")</f>
        <v/>
      </c>
      <c r="AK25" s="49" t="str">
        <f t="array" aca="1" ref="AK25" ca="1">IF(ROWS($A$11:$A25)&lt;=COUNTIF('SL bán theo ngày'!$A$9:$A$82,"?*"),INDEX('SL bán theo ngày'!AK$9:AK$82,ROWS($A$11:$A25)),"")</f>
        <v/>
      </c>
    </row>
    <row r="26" spans="1:37" ht="15.75" customHeight="1" x14ac:dyDescent="0.25">
      <c r="A26" s="27" t="str">
        <f t="array" aca="1" ref="A26" ca="1">IF(ROWS($A$11:$A26)&lt;=COUNTIF('SL bán theo ngày'!$A$9:$A$82,"?*"),INDEX('SL bán theo ngày'!A$9:A$82,ROWS($A$11:$A26)),"")</f>
        <v/>
      </c>
      <c r="B26" s="37" t="str">
        <f t="array" aca="1" ref="B26" ca="1">IF(ROWS($A$11:$A26)&lt;=COUNTIF('SL bán theo ngày'!$A$9:$A$82,"?*"),INDEX('SL bán theo ngày'!B$9:B$82,ROWS($A$11:$A26)),"")</f>
        <v/>
      </c>
      <c r="C26" s="79" t="str">
        <f t="array" aca="1" ref="C26" ca="1">IF(ROWS($A$11:$A26)&lt;=COUNTIF('SL bán theo ngày'!$A$9:$A$82,"?*"),INDEX('SL bán theo ngày'!F$9:F$82,ROWS($A$11:$A26)),"")</f>
        <v/>
      </c>
      <c r="D26" s="49" t="str">
        <f t="array" aca="1" ref="D26" ca="1">IF(ROWS($A$11:$A26)&lt;=COUNTIF('SL bán theo ngày'!$A$9:$A$82,"?*"),INDEX('SL bán theo ngày'!G$9:G$82,ROWS($A$11:$A26)),"")</f>
        <v/>
      </c>
      <c r="E26" s="49" t="str">
        <f t="array" aca="1" ref="E26" ca="1">IF(ROWS($A$11:$A26)&lt;=COUNTIF('SL bán theo ngày'!$A$9:$A$82,"?*"),INDEX('SL bán theo ngày'!H$9:H$82,ROWS($A$11:$A26)),"")</f>
        <v/>
      </c>
      <c r="F26" s="49" t="str">
        <f t="array" aca="1" ref="F26" ca="1">IF(ROWS($A$11:$A26)&lt;=COUNTIF('SL bán theo ngày'!$A$9:$A$82,"?*"),INDEX('SL bán theo ngày'!I$9:I$82,ROWS($A$11:$A26)),"")</f>
        <v/>
      </c>
      <c r="G26" s="49" t="str">
        <f t="array" aca="1" ref="G26" ca="1">IF(ROWS($A$11:$A26)&lt;=COUNTIF('SL bán theo ngày'!$A$9:$A$82,"?*"),INDEX('SL bán theo ngày'!J$9:J$82,ROWS($A$11:$A26)),"")</f>
        <v/>
      </c>
      <c r="H26" s="49" t="str">
        <f t="array" aca="1" ref="H26" ca="1">IF(ROWS($A$11:$A26)&lt;=COUNTIF('SL bán theo ngày'!$A$9:$A$82,"?*"),INDEX('SL bán theo ngày'!K$9:K$82,ROWS($A$11:$A26)),"")</f>
        <v/>
      </c>
      <c r="I26" s="49" t="str">
        <f t="array" aca="1" ref="I26" ca="1">IF(ROWS($A$11:$A26)&lt;=COUNTIF('SL bán theo ngày'!$A$9:$A$82,"?*"),INDEX('SL bán theo ngày'!L$9:L$82,ROWS($A$11:$A26)),"")</f>
        <v/>
      </c>
      <c r="J26" s="49" t="str">
        <f t="array" aca="1" ref="J26" ca="1">IF(ROWS($A$11:$A26)&lt;=COUNTIF('SL bán theo ngày'!$A$9:$A$82,"?*"),INDEX('SL bán theo ngày'!M$9:M$82,ROWS($A$11:$A26)),"")</f>
        <v/>
      </c>
      <c r="K26" s="49" t="str">
        <f t="array" aca="1" ref="K26" ca="1">IF(ROWS($A$11:$A26)&lt;=COUNTIF('SL bán theo ngày'!$A$9:$A$82,"?*"),INDEX('SL bán theo ngày'!N$9:N$82,ROWS($A$11:$A26)),"")</f>
        <v/>
      </c>
      <c r="L26" s="49" t="str">
        <f t="array" aca="1" ref="L26" ca="1">IF(ROWS($A$11:$A26)&lt;=COUNTIF('SL bán theo ngày'!$A$9:$A$82,"?*"),INDEX('SL bán theo ngày'!O$9:O$82,ROWS($A$11:$A26)),"")</f>
        <v/>
      </c>
      <c r="M26" s="49" t="str">
        <f t="array" aca="1" ref="M26" ca="1">IF(ROWS($A$11:$A26)&lt;=COUNTIF('SL bán theo ngày'!$A$9:$A$82,"?*"),INDEX('SL bán theo ngày'!P$9:P$82,ROWS($A$11:$A26)),"")</f>
        <v/>
      </c>
      <c r="N26" s="49" t="str">
        <f t="array" aca="1" ref="N26" ca="1">IF(ROWS($A$11:$A26)&lt;=COUNTIF('SL bán theo ngày'!$A$9:$A$82,"?*"),INDEX('SL bán theo ngày'!Q$9:Q$82,ROWS($A$11:$A26)),"")</f>
        <v/>
      </c>
      <c r="O26" s="49" t="str">
        <f t="array" aca="1" ref="O26" ca="1">IF(ROWS($A$11:$A26)&lt;=COUNTIF('SL bán theo ngày'!$A$9:$A$82,"?*"),INDEX('SL bán theo ngày'!R$9:R$82,ROWS($A$11:$A26)),"")</f>
        <v/>
      </c>
      <c r="P26" s="49" t="str">
        <f t="array" aca="1" ref="P26" ca="1">IF(ROWS($A$11:$A26)&lt;=COUNTIF('SL bán theo ngày'!$A$9:$A$82,"?*"),INDEX('SL bán theo ngày'!S$9:S$82,ROWS($A$11:$A26)),"")</f>
        <v/>
      </c>
      <c r="Q26" s="49" t="str">
        <f t="array" aca="1" ref="Q26" ca="1">IF(ROWS($A$11:$A26)&lt;=COUNTIF('SL bán theo ngày'!$A$9:$A$82,"?*"),INDEX('SL bán theo ngày'!T$9:T$82,ROWS($A$11:$A26)),"")</f>
        <v/>
      </c>
      <c r="R26" s="49" t="str">
        <f t="array" aca="1" ref="R26" ca="1">IF(ROWS($A$11:$A26)&lt;=COUNTIF('SL bán theo ngày'!$A$9:$A$82,"?*"),INDEX('SL bán theo ngày'!U$9:U$82,ROWS($A$11:$A26)),"")</f>
        <v/>
      </c>
      <c r="S26" s="49" t="str">
        <f t="array" aca="1" ref="S26" ca="1">IF(ROWS($A$11:$A26)&lt;=COUNTIF('SL bán theo ngày'!$A$9:$A$82,"?*"),INDEX('SL bán theo ngày'!V$9:V$82,ROWS($A$11:$A26)),"")</f>
        <v/>
      </c>
      <c r="T26" s="49" t="str">
        <f t="array" aca="1" ref="T26" ca="1">IF(ROWS($A$11:$A26)&lt;=COUNTIF('SL bán theo ngày'!$A$9:$A$82,"?*"),INDEX('SL bán theo ngày'!W$9:W$82,ROWS($A$11:$A26)),"")</f>
        <v/>
      </c>
      <c r="U26" s="49" t="str">
        <f t="array" aca="1" ref="U26" ca="1">IF(ROWS($A$11:$A26)&lt;=COUNTIF('SL bán theo ngày'!$A$9:$A$82,"?*"),INDEX('SL bán theo ngày'!X$9:X$82,ROWS($A$11:$A26)),"")</f>
        <v/>
      </c>
      <c r="V26" s="49" t="str">
        <f t="array" aca="1" ref="V26" ca="1">IF(ROWS($A$11:$A26)&lt;=COUNTIF('SL bán theo ngày'!$A$9:$A$82,"?*"),INDEX('SL bán theo ngày'!Y$9:Y$82,ROWS($A$11:$A26)),"")</f>
        <v/>
      </c>
      <c r="W26" s="49" t="str">
        <f t="array" aca="1" ref="W26" ca="1">IF(ROWS($A$11:$A26)&lt;=COUNTIF('SL bán theo ngày'!$A$9:$A$82,"?*"),INDEX('SL bán theo ngày'!Z$9:Z$82,ROWS($A$11:$A26)),"")</f>
        <v/>
      </c>
      <c r="X26" s="49" t="str">
        <f t="array" aca="1" ref="X26" ca="1">IF(ROWS($A$11:$A26)&lt;=COUNTIF('SL bán theo ngày'!$A$9:$A$82,"?*"),INDEX('SL bán theo ngày'!AA$9:AA$82,ROWS($A$11:$A26)),"")</f>
        <v/>
      </c>
      <c r="Y26" s="49" t="str">
        <f t="array" aca="1" ref="Y26" ca="1">IF(ROWS($A$11:$A26)&lt;=COUNTIF('SL bán theo ngày'!$A$9:$A$82,"?*"),INDEX('SL bán theo ngày'!AB$9:AB$82,ROWS($A$11:$A26)),"")</f>
        <v/>
      </c>
      <c r="Z26" s="49" t="str">
        <f t="array" aca="1" ref="Z26" ca="1">IF(ROWS($A$11:$A26)&lt;=COUNTIF('SL bán theo ngày'!$A$9:$A$82,"?*"),INDEX('SL bán theo ngày'!AC$9:AC$82,ROWS($A$11:$A26)),"")</f>
        <v/>
      </c>
      <c r="AA26" s="49" t="str">
        <f t="array" aca="1" ref="AA26" ca="1">IF(ROWS($A$11:$A26)&lt;=COUNTIF('SL bán theo ngày'!$A$9:$A$82,"?*"),INDEX('SL bán theo ngày'!AD$9:AD$82,ROWS($A$11:$A26)),"")</f>
        <v/>
      </c>
      <c r="AB26" s="49" t="str">
        <f t="array" aca="1" ref="AB26" ca="1">IF(ROWS($A$11:$A26)&lt;=COUNTIF('SL bán theo ngày'!$A$9:$A$82,"?*"),INDEX('SL bán theo ngày'!AE$9:AE$82,ROWS($A$11:$A26)),"")</f>
        <v/>
      </c>
      <c r="AC26" s="49" t="str">
        <f t="array" aca="1" ref="AC26" ca="1">IF(ROWS($A$11:$A26)&lt;=COUNTIF('SL bán theo ngày'!$A$9:$A$82,"?*"),INDEX('SL bán theo ngày'!AF$9:AF$82,ROWS($A$11:$A26)),"")</f>
        <v/>
      </c>
      <c r="AD26" s="49" t="str">
        <f t="array" aca="1" ref="AD26" ca="1">IF(ROWS($A$11:$A26)&lt;=COUNTIF('SL bán theo ngày'!$A$9:$A$82,"?*"),INDEX('SL bán theo ngày'!AG$9:AG$82,ROWS($A$11:$A26)),"")</f>
        <v/>
      </c>
      <c r="AE26" s="49" t="str">
        <f t="array" aca="1" ref="AE26" ca="1">IF(ROWS($A$11:$A26)&lt;=COUNTIF('SL bán theo ngày'!$A$9:$A$82,"?*"),INDEX('SL bán theo ngày'!AH$9:AH$82,ROWS($A$11:$A26)),"")</f>
        <v/>
      </c>
      <c r="AF26" s="49" t="str">
        <f t="array" aca="1" ref="AF26" ca="1">IF(ROWS($A$11:$A26)&lt;=COUNTIF('SL bán theo ngày'!$A$9:$A$82,"?*"),INDEX('SL bán theo ngày'!AI$9:AI$82,ROWS($A$11:$A26)),"")</f>
        <v/>
      </c>
      <c r="AG26" s="49" t="str">
        <f t="array" aca="1" ref="AG26" ca="1">IF(ROWS($A$11:$A26)&lt;=COUNTIF('SL bán theo ngày'!$A$9:$A$82,"?*"),INDEX('SL bán theo ngày'!C$9:C$82,ROWS($A$11:$A26)),"")</f>
        <v/>
      </c>
      <c r="AH26" s="74" t="str">
        <f t="array" aca="1" ref="AH26" ca="1">IF(ROWS($A$11:$A26)&lt;=COUNTIF('SL bán theo ngày'!$A$9:$A$82,"?*"),INDEX('SL bán theo ngày'!D$9:D$82,ROWS($A$11:$A26)),"")</f>
        <v/>
      </c>
      <c r="AI26" s="49" t="str">
        <f t="array" aca="1" ref="AI26" ca="1">IF(ROWS($A$11:$A26)&lt;=COUNTIF('SL bán theo ngày'!$A$9:$A$82,"?*"),INDEX('SL bán theo ngày'!E$9:E$82,ROWS($A$11:$A26)),"")</f>
        <v/>
      </c>
      <c r="AJ26" s="49" t="str">
        <f t="array" aca="1" ref="AJ26" ca="1">IF(ROWS($A$11:$A26)&lt;=COUNTIF('SL bán theo ngày'!$A$9:$A$82,"?*"),INDEX('SL bán theo ngày'!AJ$9:AJ$82,ROWS($A$11:$A26)),"")</f>
        <v/>
      </c>
      <c r="AK26" s="49" t="str">
        <f t="array" aca="1" ref="AK26" ca="1">IF(ROWS($A$11:$A26)&lt;=COUNTIF('SL bán theo ngày'!$A$9:$A$82,"?*"),INDEX('SL bán theo ngày'!AK$9:AK$82,ROWS($A$11:$A26)),"")</f>
        <v/>
      </c>
    </row>
    <row r="27" spans="1:37" ht="15.75" customHeight="1" x14ac:dyDescent="0.25">
      <c r="A27" s="27" t="str">
        <f t="array" aca="1" ref="A27" ca="1">IF(ROWS($A$11:$A27)&lt;=COUNTIF('SL bán theo ngày'!$A$9:$A$82,"?*"),INDEX('SL bán theo ngày'!A$9:A$82,ROWS($A$11:$A27)),"")</f>
        <v/>
      </c>
      <c r="B27" s="37" t="str">
        <f t="array" aca="1" ref="B27" ca="1">IF(ROWS($A$11:$A27)&lt;=COUNTIF('SL bán theo ngày'!$A$9:$A$82,"?*"),INDEX('SL bán theo ngày'!B$9:B$82,ROWS($A$11:$A27)),"")</f>
        <v/>
      </c>
      <c r="C27" s="79" t="str">
        <f t="array" aca="1" ref="C27" ca="1">IF(ROWS($A$11:$A27)&lt;=COUNTIF('SL bán theo ngày'!$A$9:$A$82,"?*"),INDEX('SL bán theo ngày'!F$9:F$82,ROWS($A$11:$A27)),"")</f>
        <v/>
      </c>
      <c r="D27" s="49" t="str">
        <f t="array" aca="1" ref="D27" ca="1">IF(ROWS($A$11:$A27)&lt;=COUNTIF('SL bán theo ngày'!$A$9:$A$82,"?*"),INDEX('SL bán theo ngày'!G$9:G$82,ROWS($A$11:$A27)),"")</f>
        <v/>
      </c>
      <c r="E27" s="49" t="str">
        <f t="array" aca="1" ref="E27" ca="1">IF(ROWS($A$11:$A27)&lt;=COUNTIF('SL bán theo ngày'!$A$9:$A$82,"?*"),INDEX('SL bán theo ngày'!H$9:H$82,ROWS($A$11:$A27)),"")</f>
        <v/>
      </c>
      <c r="F27" s="49" t="str">
        <f t="array" aca="1" ref="F27" ca="1">IF(ROWS($A$11:$A27)&lt;=COUNTIF('SL bán theo ngày'!$A$9:$A$82,"?*"),INDEX('SL bán theo ngày'!I$9:I$82,ROWS($A$11:$A27)),"")</f>
        <v/>
      </c>
      <c r="G27" s="49" t="str">
        <f t="array" aca="1" ref="G27" ca="1">IF(ROWS($A$11:$A27)&lt;=COUNTIF('SL bán theo ngày'!$A$9:$A$82,"?*"),INDEX('SL bán theo ngày'!J$9:J$82,ROWS($A$11:$A27)),"")</f>
        <v/>
      </c>
      <c r="H27" s="49" t="str">
        <f t="array" aca="1" ref="H27" ca="1">IF(ROWS($A$11:$A27)&lt;=COUNTIF('SL bán theo ngày'!$A$9:$A$82,"?*"),INDEX('SL bán theo ngày'!K$9:K$82,ROWS($A$11:$A27)),"")</f>
        <v/>
      </c>
      <c r="I27" s="49" t="str">
        <f t="array" aca="1" ref="I27" ca="1">IF(ROWS($A$11:$A27)&lt;=COUNTIF('SL bán theo ngày'!$A$9:$A$82,"?*"),INDEX('SL bán theo ngày'!L$9:L$82,ROWS($A$11:$A27)),"")</f>
        <v/>
      </c>
      <c r="J27" s="49" t="str">
        <f t="array" aca="1" ref="J27" ca="1">IF(ROWS($A$11:$A27)&lt;=COUNTIF('SL bán theo ngày'!$A$9:$A$82,"?*"),INDEX('SL bán theo ngày'!M$9:M$82,ROWS($A$11:$A27)),"")</f>
        <v/>
      </c>
      <c r="K27" s="49" t="str">
        <f t="array" aca="1" ref="K27" ca="1">IF(ROWS($A$11:$A27)&lt;=COUNTIF('SL bán theo ngày'!$A$9:$A$82,"?*"),INDEX('SL bán theo ngày'!N$9:N$82,ROWS($A$11:$A27)),"")</f>
        <v/>
      </c>
      <c r="L27" s="49" t="str">
        <f t="array" aca="1" ref="L27" ca="1">IF(ROWS($A$11:$A27)&lt;=COUNTIF('SL bán theo ngày'!$A$9:$A$82,"?*"),INDEX('SL bán theo ngày'!O$9:O$82,ROWS($A$11:$A27)),"")</f>
        <v/>
      </c>
      <c r="M27" s="49" t="str">
        <f t="array" aca="1" ref="M27" ca="1">IF(ROWS($A$11:$A27)&lt;=COUNTIF('SL bán theo ngày'!$A$9:$A$82,"?*"),INDEX('SL bán theo ngày'!P$9:P$82,ROWS($A$11:$A27)),"")</f>
        <v/>
      </c>
      <c r="N27" s="49" t="str">
        <f t="array" aca="1" ref="N27" ca="1">IF(ROWS($A$11:$A27)&lt;=COUNTIF('SL bán theo ngày'!$A$9:$A$82,"?*"),INDEX('SL bán theo ngày'!Q$9:Q$82,ROWS($A$11:$A27)),"")</f>
        <v/>
      </c>
      <c r="O27" s="49" t="str">
        <f t="array" aca="1" ref="O27" ca="1">IF(ROWS($A$11:$A27)&lt;=COUNTIF('SL bán theo ngày'!$A$9:$A$82,"?*"),INDEX('SL bán theo ngày'!R$9:R$82,ROWS($A$11:$A27)),"")</f>
        <v/>
      </c>
      <c r="P27" s="49" t="str">
        <f t="array" aca="1" ref="P27" ca="1">IF(ROWS($A$11:$A27)&lt;=COUNTIF('SL bán theo ngày'!$A$9:$A$82,"?*"),INDEX('SL bán theo ngày'!S$9:S$82,ROWS($A$11:$A27)),"")</f>
        <v/>
      </c>
      <c r="Q27" s="49" t="str">
        <f t="array" aca="1" ref="Q27" ca="1">IF(ROWS($A$11:$A27)&lt;=COUNTIF('SL bán theo ngày'!$A$9:$A$82,"?*"),INDEX('SL bán theo ngày'!T$9:T$82,ROWS($A$11:$A27)),"")</f>
        <v/>
      </c>
      <c r="R27" s="49" t="str">
        <f t="array" aca="1" ref="R27" ca="1">IF(ROWS($A$11:$A27)&lt;=COUNTIF('SL bán theo ngày'!$A$9:$A$82,"?*"),INDEX('SL bán theo ngày'!U$9:U$82,ROWS($A$11:$A27)),"")</f>
        <v/>
      </c>
      <c r="S27" s="49" t="str">
        <f t="array" aca="1" ref="S27" ca="1">IF(ROWS($A$11:$A27)&lt;=COUNTIF('SL bán theo ngày'!$A$9:$A$82,"?*"),INDEX('SL bán theo ngày'!V$9:V$82,ROWS($A$11:$A27)),"")</f>
        <v/>
      </c>
      <c r="T27" s="49" t="str">
        <f t="array" aca="1" ref="T27" ca="1">IF(ROWS($A$11:$A27)&lt;=COUNTIF('SL bán theo ngày'!$A$9:$A$82,"?*"),INDEX('SL bán theo ngày'!W$9:W$82,ROWS($A$11:$A27)),"")</f>
        <v/>
      </c>
      <c r="U27" s="49" t="str">
        <f t="array" aca="1" ref="U27" ca="1">IF(ROWS($A$11:$A27)&lt;=COUNTIF('SL bán theo ngày'!$A$9:$A$82,"?*"),INDEX('SL bán theo ngày'!X$9:X$82,ROWS($A$11:$A27)),"")</f>
        <v/>
      </c>
      <c r="V27" s="49" t="str">
        <f t="array" aca="1" ref="V27" ca="1">IF(ROWS($A$11:$A27)&lt;=COUNTIF('SL bán theo ngày'!$A$9:$A$82,"?*"),INDEX('SL bán theo ngày'!Y$9:Y$82,ROWS($A$11:$A27)),"")</f>
        <v/>
      </c>
      <c r="W27" s="49" t="str">
        <f t="array" aca="1" ref="W27" ca="1">IF(ROWS($A$11:$A27)&lt;=COUNTIF('SL bán theo ngày'!$A$9:$A$82,"?*"),INDEX('SL bán theo ngày'!Z$9:Z$82,ROWS($A$11:$A27)),"")</f>
        <v/>
      </c>
      <c r="X27" s="49" t="str">
        <f t="array" aca="1" ref="X27" ca="1">IF(ROWS($A$11:$A27)&lt;=COUNTIF('SL bán theo ngày'!$A$9:$A$82,"?*"),INDEX('SL bán theo ngày'!AA$9:AA$82,ROWS($A$11:$A27)),"")</f>
        <v/>
      </c>
      <c r="Y27" s="49" t="str">
        <f t="array" aca="1" ref="Y27" ca="1">IF(ROWS($A$11:$A27)&lt;=COUNTIF('SL bán theo ngày'!$A$9:$A$82,"?*"),INDEX('SL bán theo ngày'!AB$9:AB$82,ROWS($A$11:$A27)),"")</f>
        <v/>
      </c>
      <c r="Z27" s="49" t="str">
        <f t="array" aca="1" ref="Z27" ca="1">IF(ROWS($A$11:$A27)&lt;=COUNTIF('SL bán theo ngày'!$A$9:$A$82,"?*"),INDEX('SL bán theo ngày'!AC$9:AC$82,ROWS($A$11:$A27)),"")</f>
        <v/>
      </c>
      <c r="AA27" s="49" t="str">
        <f t="array" aca="1" ref="AA27" ca="1">IF(ROWS($A$11:$A27)&lt;=COUNTIF('SL bán theo ngày'!$A$9:$A$82,"?*"),INDEX('SL bán theo ngày'!AD$9:AD$82,ROWS($A$11:$A27)),"")</f>
        <v/>
      </c>
      <c r="AB27" s="49" t="str">
        <f t="array" aca="1" ref="AB27" ca="1">IF(ROWS($A$11:$A27)&lt;=COUNTIF('SL bán theo ngày'!$A$9:$A$82,"?*"),INDEX('SL bán theo ngày'!AE$9:AE$82,ROWS($A$11:$A27)),"")</f>
        <v/>
      </c>
      <c r="AC27" s="49" t="str">
        <f t="array" aca="1" ref="AC27" ca="1">IF(ROWS($A$11:$A27)&lt;=COUNTIF('SL bán theo ngày'!$A$9:$A$82,"?*"),INDEX('SL bán theo ngày'!AF$9:AF$82,ROWS($A$11:$A27)),"")</f>
        <v/>
      </c>
      <c r="AD27" s="49" t="str">
        <f t="array" aca="1" ref="AD27" ca="1">IF(ROWS($A$11:$A27)&lt;=COUNTIF('SL bán theo ngày'!$A$9:$A$82,"?*"),INDEX('SL bán theo ngày'!AG$9:AG$82,ROWS($A$11:$A27)),"")</f>
        <v/>
      </c>
      <c r="AE27" s="49" t="str">
        <f t="array" aca="1" ref="AE27" ca="1">IF(ROWS($A$11:$A27)&lt;=COUNTIF('SL bán theo ngày'!$A$9:$A$82,"?*"),INDEX('SL bán theo ngày'!AH$9:AH$82,ROWS($A$11:$A27)),"")</f>
        <v/>
      </c>
      <c r="AF27" s="49" t="str">
        <f t="array" aca="1" ref="AF27" ca="1">IF(ROWS($A$11:$A27)&lt;=COUNTIF('SL bán theo ngày'!$A$9:$A$82,"?*"),INDEX('SL bán theo ngày'!AI$9:AI$82,ROWS($A$11:$A27)),"")</f>
        <v/>
      </c>
      <c r="AG27" s="49" t="str">
        <f t="array" aca="1" ref="AG27" ca="1">IF(ROWS($A$11:$A27)&lt;=COUNTIF('SL bán theo ngày'!$A$9:$A$82,"?*"),INDEX('SL bán theo ngày'!C$9:C$82,ROWS($A$11:$A27)),"")</f>
        <v/>
      </c>
      <c r="AH27" s="74" t="str">
        <f t="array" aca="1" ref="AH27" ca="1">IF(ROWS($A$11:$A27)&lt;=COUNTIF('SL bán theo ngày'!$A$9:$A$82,"?*"),INDEX('SL bán theo ngày'!D$9:D$82,ROWS($A$11:$A27)),"")</f>
        <v/>
      </c>
      <c r="AI27" s="49" t="str">
        <f t="array" aca="1" ref="AI27" ca="1">IF(ROWS($A$11:$A27)&lt;=COUNTIF('SL bán theo ngày'!$A$9:$A$82,"?*"),INDEX('SL bán theo ngày'!E$9:E$82,ROWS($A$11:$A27)),"")</f>
        <v/>
      </c>
      <c r="AJ27" s="49" t="str">
        <f t="array" aca="1" ref="AJ27" ca="1">IF(ROWS($A$11:$A27)&lt;=COUNTIF('SL bán theo ngày'!$A$9:$A$82,"?*"),INDEX('SL bán theo ngày'!AJ$9:AJ$82,ROWS($A$11:$A27)),"")</f>
        <v/>
      </c>
      <c r="AK27" s="49" t="str">
        <f t="array" aca="1" ref="AK27" ca="1">IF(ROWS($A$11:$A27)&lt;=COUNTIF('SL bán theo ngày'!$A$9:$A$82,"?*"),INDEX('SL bán theo ngày'!AK$9:AK$82,ROWS($A$11:$A27)),"")</f>
        <v/>
      </c>
    </row>
    <row r="28" spans="1:37" ht="15.75" customHeight="1" x14ac:dyDescent="0.25">
      <c r="A28" s="27" t="str">
        <f t="array" aca="1" ref="A28" ca="1">IF(ROWS($A$11:$A28)&lt;=COUNTIF('SL bán theo ngày'!$A$9:$A$82,"?*"),INDEX('SL bán theo ngày'!A$9:A$82,ROWS($A$11:$A28)),"")</f>
        <v/>
      </c>
      <c r="B28" s="37" t="str">
        <f t="array" aca="1" ref="B28" ca="1">IF(ROWS($A$11:$A28)&lt;=COUNTIF('SL bán theo ngày'!$A$9:$A$82,"?*"),INDEX('SL bán theo ngày'!B$9:B$82,ROWS($A$11:$A28)),"")</f>
        <v/>
      </c>
      <c r="C28" s="79" t="str">
        <f t="array" aca="1" ref="C28" ca="1">IF(ROWS($A$11:$A28)&lt;=COUNTIF('SL bán theo ngày'!$A$9:$A$82,"?*"),INDEX('SL bán theo ngày'!F$9:F$82,ROWS($A$11:$A28)),"")</f>
        <v/>
      </c>
      <c r="D28" s="49" t="str">
        <f t="array" aca="1" ref="D28" ca="1">IF(ROWS($A$11:$A28)&lt;=COUNTIF('SL bán theo ngày'!$A$9:$A$82,"?*"),INDEX('SL bán theo ngày'!G$9:G$82,ROWS($A$11:$A28)),"")</f>
        <v/>
      </c>
      <c r="E28" s="49" t="str">
        <f t="array" aca="1" ref="E28" ca="1">IF(ROWS($A$11:$A28)&lt;=COUNTIF('SL bán theo ngày'!$A$9:$A$82,"?*"),INDEX('SL bán theo ngày'!H$9:H$82,ROWS($A$11:$A28)),"")</f>
        <v/>
      </c>
      <c r="F28" s="49" t="str">
        <f t="array" aca="1" ref="F28" ca="1">IF(ROWS($A$11:$A28)&lt;=COUNTIF('SL bán theo ngày'!$A$9:$A$82,"?*"),INDEX('SL bán theo ngày'!I$9:I$82,ROWS($A$11:$A28)),"")</f>
        <v/>
      </c>
      <c r="G28" s="49" t="str">
        <f t="array" aca="1" ref="G28" ca="1">IF(ROWS($A$11:$A28)&lt;=COUNTIF('SL bán theo ngày'!$A$9:$A$82,"?*"),INDEX('SL bán theo ngày'!J$9:J$82,ROWS($A$11:$A28)),"")</f>
        <v/>
      </c>
      <c r="H28" s="49" t="str">
        <f t="array" aca="1" ref="H28" ca="1">IF(ROWS($A$11:$A28)&lt;=COUNTIF('SL bán theo ngày'!$A$9:$A$82,"?*"),INDEX('SL bán theo ngày'!K$9:K$82,ROWS($A$11:$A28)),"")</f>
        <v/>
      </c>
      <c r="I28" s="49" t="str">
        <f t="array" aca="1" ref="I28" ca="1">IF(ROWS($A$11:$A28)&lt;=COUNTIF('SL bán theo ngày'!$A$9:$A$82,"?*"),INDEX('SL bán theo ngày'!L$9:L$82,ROWS($A$11:$A28)),"")</f>
        <v/>
      </c>
      <c r="J28" s="49" t="str">
        <f t="array" aca="1" ref="J28" ca="1">IF(ROWS($A$11:$A28)&lt;=COUNTIF('SL bán theo ngày'!$A$9:$A$82,"?*"),INDEX('SL bán theo ngày'!M$9:M$82,ROWS($A$11:$A28)),"")</f>
        <v/>
      </c>
      <c r="K28" s="49" t="str">
        <f t="array" aca="1" ref="K28" ca="1">IF(ROWS($A$11:$A28)&lt;=COUNTIF('SL bán theo ngày'!$A$9:$A$82,"?*"),INDEX('SL bán theo ngày'!N$9:N$82,ROWS($A$11:$A28)),"")</f>
        <v/>
      </c>
      <c r="L28" s="49" t="str">
        <f t="array" aca="1" ref="L28" ca="1">IF(ROWS($A$11:$A28)&lt;=COUNTIF('SL bán theo ngày'!$A$9:$A$82,"?*"),INDEX('SL bán theo ngày'!O$9:O$82,ROWS($A$11:$A28)),"")</f>
        <v/>
      </c>
      <c r="M28" s="49" t="str">
        <f t="array" aca="1" ref="M28" ca="1">IF(ROWS($A$11:$A28)&lt;=COUNTIF('SL bán theo ngày'!$A$9:$A$82,"?*"),INDEX('SL bán theo ngày'!P$9:P$82,ROWS($A$11:$A28)),"")</f>
        <v/>
      </c>
      <c r="N28" s="49" t="str">
        <f t="array" aca="1" ref="N28" ca="1">IF(ROWS($A$11:$A28)&lt;=COUNTIF('SL bán theo ngày'!$A$9:$A$82,"?*"),INDEX('SL bán theo ngày'!Q$9:Q$82,ROWS($A$11:$A28)),"")</f>
        <v/>
      </c>
      <c r="O28" s="49" t="str">
        <f t="array" aca="1" ref="O28" ca="1">IF(ROWS($A$11:$A28)&lt;=COUNTIF('SL bán theo ngày'!$A$9:$A$82,"?*"),INDEX('SL bán theo ngày'!R$9:R$82,ROWS($A$11:$A28)),"")</f>
        <v/>
      </c>
      <c r="P28" s="49" t="str">
        <f t="array" aca="1" ref="P28" ca="1">IF(ROWS($A$11:$A28)&lt;=COUNTIF('SL bán theo ngày'!$A$9:$A$82,"?*"),INDEX('SL bán theo ngày'!S$9:S$82,ROWS($A$11:$A28)),"")</f>
        <v/>
      </c>
      <c r="Q28" s="49" t="str">
        <f t="array" aca="1" ref="Q28" ca="1">IF(ROWS($A$11:$A28)&lt;=COUNTIF('SL bán theo ngày'!$A$9:$A$82,"?*"),INDEX('SL bán theo ngày'!T$9:T$82,ROWS($A$11:$A28)),"")</f>
        <v/>
      </c>
      <c r="R28" s="49" t="str">
        <f t="array" aca="1" ref="R28" ca="1">IF(ROWS($A$11:$A28)&lt;=COUNTIF('SL bán theo ngày'!$A$9:$A$82,"?*"),INDEX('SL bán theo ngày'!U$9:U$82,ROWS($A$11:$A28)),"")</f>
        <v/>
      </c>
      <c r="S28" s="49" t="str">
        <f t="array" aca="1" ref="S28" ca="1">IF(ROWS($A$11:$A28)&lt;=COUNTIF('SL bán theo ngày'!$A$9:$A$82,"?*"),INDEX('SL bán theo ngày'!V$9:V$82,ROWS($A$11:$A28)),"")</f>
        <v/>
      </c>
      <c r="T28" s="49" t="str">
        <f t="array" aca="1" ref="T28" ca="1">IF(ROWS($A$11:$A28)&lt;=COUNTIF('SL bán theo ngày'!$A$9:$A$82,"?*"),INDEX('SL bán theo ngày'!W$9:W$82,ROWS($A$11:$A28)),"")</f>
        <v/>
      </c>
      <c r="U28" s="49" t="str">
        <f t="array" aca="1" ref="U28" ca="1">IF(ROWS($A$11:$A28)&lt;=COUNTIF('SL bán theo ngày'!$A$9:$A$82,"?*"),INDEX('SL bán theo ngày'!X$9:X$82,ROWS($A$11:$A28)),"")</f>
        <v/>
      </c>
      <c r="V28" s="49" t="str">
        <f t="array" aca="1" ref="V28" ca="1">IF(ROWS($A$11:$A28)&lt;=COUNTIF('SL bán theo ngày'!$A$9:$A$82,"?*"),INDEX('SL bán theo ngày'!Y$9:Y$82,ROWS($A$11:$A28)),"")</f>
        <v/>
      </c>
      <c r="W28" s="49" t="str">
        <f t="array" aca="1" ref="W28" ca="1">IF(ROWS($A$11:$A28)&lt;=COUNTIF('SL bán theo ngày'!$A$9:$A$82,"?*"),INDEX('SL bán theo ngày'!Z$9:Z$82,ROWS($A$11:$A28)),"")</f>
        <v/>
      </c>
      <c r="X28" s="49" t="str">
        <f t="array" aca="1" ref="X28" ca="1">IF(ROWS($A$11:$A28)&lt;=COUNTIF('SL bán theo ngày'!$A$9:$A$82,"?*"),INDEX('SL bán theo ngày'!AA$9:AA$82,ROWS($A$11:$A28)),"")</f>
        <v/>
      </c>
      <c r="Y28" s="49" t="str">
        <f t="array" aca="1" ref="Y28" ca="1">IF(ROWS($A$11:$A28)&lt;=COUNTIF('SL bán theo ngày'!$A$9:$A$82,"?*"),INDEX('SL bán theo ngày'!AB$9:AB$82,ROWS($A$11:$A28)),"")</f>
        <v/>
      </c>
      <c r="Z28" s="49" t="str">
        <f t="array" aca="1" ref="Z28" ca="1">IF(ROWS($A$11:$A28)&lt;=COUNTIF('SL bán theo ngày'!$A$9:$A$82,"?*"),INDEX('SL bán theo ngày'!AC$9:AC$82,ROWS($A$11:$A28)),"")</f>
        <v/>
      </c>
      <c r="AA28" s="49" t="str">
        <f t="array" aca="1" ref="AA28" ca="1">IF(ROWS($A$11:$A28)&lt;=COUNTIF('SL bán theo ngày'!$A$9:$A$82,"?*"),INDEX('SL bán theo ngày'!AD$9:AD$82,ROWS($A$11:$A28)),"")</f>
        <v/>
      </c>
      <c r="AB28" s="49" t="str">
        <f t="array" aca="1" ref="AB28" ca="1">IF(ROWS($A$11:$A28)&lt;=COUNTIF('SL bán theo ngày'!$A$9:$A$82,"?*"),INDEX('SL bán theo ngày'!AE$9:AE$82,ROWS($A$11:$A28)),"")</f>
        <v/>
      </c>
      <c r="AC28" s="49" t="str">
        <f t="array" aca="1" ref="AC28" ca="1">IF(ROWS($A$11:$A28)&lt;=COUNTIF('SL bán theo ngày'!$A$9:$A$82,"?*"),INDEX('SL bán theo ngày'!AF$9:AF$82,ROWS($A$11:$A28)),"")</f>
        <v/>
      </c>
      <c r="AD28" s="49" t="str">
        <f t="array" aca="1" ref="AD28" ca="1">IF(ROWS($A$11:$A28)&lt;=COUNTIF('SL bán theo ngày'!$A$9:$A$82,"?*"),INDEX('SL bán theo ngày'!AG$9:AG$82,ROWS($A$11:$A28)),"")</f>
        <v/>
      </c>
      <c r="AE28" s="49" t="str">
        <f t="array" aca="1" ref="AE28" ca="1">IF(ROWS($A$11:$A28)&lt;=COUNTIF('SL bán theo ngày'!$A$9:$A$82,"?*"),INDEX('SL bán theo ngày'!AH$9:AH$82,ROWS($A$11:$A28)),"")</f>
        <v/>
      </c>
      <c r="AF28" s="49" t="str">
        <f t="array" aca="1" ref="AF28" ca="1">IF(ROWS($A$11:$A28)&lt;=COUNTIF('SL bán theo ngày'!$A$9:$A$82,"?*"),INDEX('SL bán theo ngày'!AI$9:AI$82,ROWS($A$11:$A28)),"")</f>
        <v/>
      </c>
      <c r="AG28" s="49" t="str">
        <f t="array" aca="1" ref="AG28" ca="1">IF(ROWS($A$11:$A28)&lt;=COUNTIF('SL bán theo ngày'!$A$9:$A$82,"?*"),INDEX('SL bán theo ngày'!C$9:C$82,ROWS($A$11:$A28)),"")</f>
        <v/>
      </c>
      <c r="AH28" s="74" t="str">
        <f t="array" aca="1" ref="AH28" ca="1">IF(ROWS($A$11:$A28)&lt;=COUNTIF('SL bán theo ngày'!$A$9:$A$82,"?*"),INDEX('SL bán theo ngày'!D$9:D$82,ROWS($A$11:$A28)),"")</f>
        <v/>
      </c>
      <c r="AI28" s="49" t="str">
        <f t="array" aca="1" ref="AI28" ca="1">IF(ROWS($A$11:$A28)&lt;=COUNTIF('SL bán theo ngày'!$A$9:$A$82,"?*"),INDEX('SL bán theo ngày'!E$9:E$82,ROWS($A$11:$A28)),"")</f>
        <v/>
      </c>
      <c r="AJ28" s="49" t="str">
        <f t="array" aca="1" ref="AJ28" ca="1">IF(ROWS($A$11:$A28)&lt;=COUNTIF('SL bán theo ngày'!$A$9:$A$82,"?*"),INDEX('SL bán theo ngày'!AJ$9:AJ$82,ROWS($A$11:$A28)),"")</f>
        <v/>
      </c>
      <c r="AK28" s="49" t="str">
        <f t="array" aca="1" ref="AK28" ca="1">IF(ROWS($A$11:$A28)&lt;=COUNTIF('SL bán theo ngày'!$A$9:$A$82,"?*"),INDEX('SL bán theo ngày'!AK$9:AK$82,ROWS($A$11:$A28)),"")</f>
        <v/>
      </c>
    </row>
    <row r="29" spans="1:37" ht="15.75" customHeight="1" x14ac:dyDescent="0.25">
      <c r="A29" s="27" t="str">
        <f t="array" aca="1" ref="A29" ca="1">IF(ROWS($A$11:$A29)&lt;=COUNTIF('SL bán theo ngày'!$A$9:$A$82,"?*"),INDEX('SL bán theo ngày'!A$9:A$82,ROWS($A$11:$A29)),"")</f>
        <v/>
      </c>
      <c r="B29" s="37" t="str">
        <f t="array" aca="1" ref="B29" ca="1">IF(ROWS($A$11:$A29)&lt;=COUNTIF('SL bán theo ngày'!$A$9:$A$82,"?*"),INDEX('SL bán theo ngày'!B$9:B$82,ROWS($A$11:$A29)),"")</f>
        <v/>
      </c>
      <c r="C29" s="79" t="str">
        <f t="array" aca="1" ref="C29" ca="1">IF(ROWS($A$11:$A29)&lt;=COUNTIF('SL bán theo ngày'!$A$9:$A$82,"?*"),INDEX('SL bán theo ngày'!F$9:F$82,ROWS($A$11:$A29)),"")</f>
        <v/>
      </c>
      <c r="D29" s="49" t="str">
        <f t="array" aca="1" ref="D29" ca="1">IF(ROWS($A$11:$A29)&lt;=COUNTIF('SL bán theo ngày'!$A$9:$A$82,"?*"),INDEX('SL bán theo ngày'!G$9:G$82,ROWS($A$11:$A29)),"")</f>
        <v/>
      </c>
      <c r="E29" s="49" t="str">
        <f t="array" aca="1" ref="E29" ca="1">IF(ROWS($A$11:$A29)&lt;=COUNTIF('SL bán theo ngày'!$A$9:$A$82,"?*"),INDEX('SL bán theo ngày'!H$9:H$82,ROWS($A$11:$A29)),"")</f>
        <v/>
      </c>
      <c r="F29" s="49" t="str">
        <f t="array" aca="1" ref="F29" ca="1">IF(ROWS($A$11:$A29)&lt;=COUNTIF('SL bán theo ngày'!$A$9:$A$82,"?*"),INDEX('SL bán theo ngày'!I$9:I$82,ROWS($A$11:$A29)),"")</f>
        <v/>
      </c>
      <c r="G29" s="49" t="str">
        <f t="array" aca="1" ref="G29" ca="1">IF(ROWS($A$11:$A29)&lt;=COUNTIF('SL bán theo ngày'!$A$9:$A$82,"?*"),INDEX('SL bán theo ngày'!J$9:J$82,ROWS($A$11:$A29)),"")</f>
        <v/>
      </c>
      <c r="H29" s="49" t="str">
        <f t="array" aca="1" ref="H29" ca="1">IF(ROWS($A$11:$A29)&lt;=COUNTIF('SL bán theo ngày'!$A$9:$A$82,"?*"),INDEX('SL bán theo ngày'!K$9:K$82,ROWS($A$11:$A29)),"")</f>
        <v/>
      </c>
      <c r="I29" s="49" t="str">
        <f t="array" aca="1" ref="I29" ca="1">IF(ROWS($A$11:$A29)&lt;=COUNTIF('SL bán theo ngày'!$A$9:$A$82,"?*"),INDEX('SL bán theo ngày'!L$9:L$82,ROWS($A$11:$A29)),"")</f>
        <v/>
      </c>
      <c r="J29" s="49" t="str">
        <f t="array" aca="1" ref="J29" ca="1">IF(ROWS($A$11:$A29)&lt;=COUNTIF('SL bán theo ngày'!$A$9:$A$82,"?*"),INDEX('SL bán theo ngày'!M$9:M$82,ROWS($A$11:$A29)),"")</f>
        <v/>
      </c>
      <c r="K29" s="49" t="str">
        <f t="array" aca="1" ref="K29" ca="1">IF(ROWS($A$11:$A29)&lt;=COUNTIF('SL bán theo ngày'!$A$9:$A$82,"?*"),INDEX('SL bán theo ngày'!N$9:N$82,ROWS($A$11:$A29)),"")</f>
        <v/>
      </c>
      <c r="L29" s="49" t="str">
        <f t="array" aca="1" ref="L29" ca="1">IF(ROWS($A$11:$A29)&lt;=COUNTIF('SL bán theo ngày'!$A$9:$A$82,"?*"),INDEX('SL bán theo ngày'!O$9:O$82,ROWS($A$11:$A29)),"")</f>
        <v/>
      </c>
      <c r="M29" s="49" t="str">
        <f t="array" aca="1" ref="M29" ca="1">IF(ROWS($A$11:$A29)&lt;=COUNTIF('SL bán theo ngày'!$A$9:$A$82,"?*"),INDEX('SL bán theo ngày'!P$9:P$82,ROWS($A$11:$A29)),"")</f>
        <v/>
      </c>
      <c r="N29" s="49" t="str">
        <f t="array" aca="1" ref="N29" ca="1">IF(ROWS($A$11:$A29)&lt;=COUNTIF('SL bán theo ngày'!$A$9:$A$82,"?*"),INDEX('SL bán theo ngày'!Q$9:Q$82,ROWS($A$11:$A29)),"")</f>
        <v/>
      </c>
      <c r="O29" s="49" t="str">
        <f t="array" aca="1" ref="O29" ca="1">IF(ROWS($A$11:$A29)&lt;=COUNTIF('SL bán theo ngày'!$A$9:$A$82,"?*"),INDEX('SL bán theo ngày'!R$9:R$82,ROWS($A$11:$A29)),"")</f>
        <v/>
      </c>
      <c r="P29" s="49" t="str">
        <f t="array" aca="1" ref="P29" ca="1">IF(ROWS($A$11:$A29)&lt;=COUNTIF('SL bán theo ngày'!$A$9:$A$82,"?*"),INDEX('SL bán theo ngày'!S$9:S$82,ROWS($A$11:$A29)),"")</f>
        <v/>
      </c>
      <c r="Q29" s="49" t="str">
        <f t="array" aca="1" ref="Q29" ca="1">IF(ROWS($A$11:$A29)&lt;=COUNTIF('SL bán theo ngày'!$A$9:$A$82,"?*"),INDEX('SL bán theo ngày'!T$9:T$82,ROWS($A$11:$A29)),"")</f>
        <v/>
      </c>
      <c r="R29" s="49" t="str">
        <f t="array" aca="1" ref="R29" ca="1">IF(ROWS($A$11:$A29)&lt;=COUNTIF('SL bán theo ngày'!$A$9:$A$82,"?*"),INDEX('SL bán theo ngày'!U$9:U$82,ROWS($A$11:$A29)),"")</f>
        <v/>
      </c>
      <c r="S29" s="49" t="str">
        <f t="array" aca="1" ref="S29" ca="1">IF(ROWS($A$11:$A29)&lt;=COUNTIF('SL bán theo ngày'!$A$9:$A$82,"?*"),INDEX('SL bán theo ngày'!V$9:V$82,ROWS($A$11:$A29)),"")</f>
        <v/>
      </c>
      <c r="T29" s="49" t="str">
        <f t="array" aca="1" ref="T29" ca="1">IF(ROWS($A$11:$A29)&lt;=COUNTIF('SL bán theo ngày'!$A$9:$A$82,"?*"),INDEX('SL bán theo ngày'!W$9:W$82,ROWS($A$11:$A29)),"")</f>
        <v/>
      </c>
      <c r="U29" s="49" t="str">
        <f t="array" aca="1" ref="U29" ca="1">IF(ROWS($A$11:$A29)&lt;=COUNTIF('SL bán theo ngày'!$A$9:$A$82,"?*"),INDEX('SL bán theo ngày'!X$9:X$82,ROWS($A$11:$A29)),"")</f>
        <v/>
      </c>
      <c r="V29" s="49" t="str">
        <f t="array" aca="1" ref="V29" ca="1">IF(ROWS($A$11:$A29)&lt;=COUNTIF('SL bán theo ngày'!$A$9:$A$82,"?*"),INDEX('SL bán theo ngày'!Y$9:Y$82,ROWS($A$11:$A29)),"")</f>
        <v/>
      </c>
      <c r="W29" s="49" t="str">
        <f t="array" aca="1" ref="W29" ca="1">IF(ROWS($A$11:$A29)&lt;=COUNTIF('SL bán theo ngày'!$A$9:$A$82,"?*"),INDEX('SL bán theo ngày'!Z$9:Z$82,ROWS($A$11:$A29)),"")</f>
        <v/>
      </c>
      <c r="X29" s="49" t="str">
        <f t="array" aca="1" ref="X29" ca="1">IF(ROWS($A$11:$A29)&lt;=COUNTIF('SL bán theo ngày'!$A$9:$A$82,"?*"),INDEX('SL bán theo ngày'!AA$9:AA$82,ROWS($A$11:$A29)),"")</f>
        <v/>
      </c>
      <c r="Y29" s="49" t="str">
        <f t="array" aca="1" ref="Y29" ca="1">IF(ROWS($A$11:$A29)&lt;=COUNTIF('SL bán theo ngày'!$A$9:$A$82,"?*"),INDEX('SL bán theo ngày'!AB$9:AB$82,ROWS($A$11:$A29)),"")</f>
        <v/>
      </c>
      <c r="Z29" s="49" t="str">
        <f t="array" aca="1" ref="Z29" ca="1">IF(ROWS($A$11:$A29)&lt;=COUNTIF('SL bán theo ngày'!$A$9:$A$82,"?*"),INDEX('SL bán theo ngày'!AC$9:AC$82,ROWS($A$11:$A29)),"")</f>
        <v/>
      </c>
      <c r="AA29" s="49" t="str">
        <f t="array" aca="1" ref="AA29" ca="1">IF(ROWS($A$11:$A29)&lt;=COUNTIF('SL bán theo ngày'!$A$9:$A$82,"?*"),INDEX('SL bán theo ngày'!AD$9:AD$82,ROWS($A$11:$A29)),"")</f>
        <v/>
      </c>
      <c r="AB29" s="49" t="str">
        <f t="array" aca="1" ref="AB29" ca="1">IF(ROWS($A$11:$A29)&lt;=COUNTIF('SL bán theo ngày'!$A$9:$A$82,"?*"),INDEX('SL bán theo ngày'!AE$9:AE$82,ROWS($A$11:$A29)),"")</f>
        <v/>
      </c>
      <c r="AC29" s="49" t="str">
        <f t="array" aca="1" ref="AC29" ca="1">IF(ROWS($A$11:$A29)&lt;=COUNTIF('SL bán theo ngày'!$A$9:$A$82,"?*"),INDEX('SL bán theo ngày'!AF$9:AF$82,ROWS($A$11:$A29)),"")</f>
        <v/>
      </c>
      <c r="AD29" s="49" t="str">
        <f t="array" aca="1" ref="AD29" ca="1">IF(ROWS($A$11:$A29)&lt;=COUNTIF('SL bán theo ngày'!$A$9:$A$82,"?*"),INDEX('SL bán theo ngày'!AG$9:AG$82,ROWS($A$11:$A29)),"")</f>
        <v/>
      </c>
      <c r="AE29" s="49" t="str">
        <f t="array" aca="1" ref="AE29" ca="1">IF(ROWS($A$11:$A29)&lt;=COUNTIF('SL bán theo ngày'!$A$9:$A$82,"?*"),INDEX('SL bán theo ngày'!AH$9:AH$82,ROWS($A$11:$A29)),"")</f>
        <v/>
      </c>
      <c r="AF29" s="49" t="str">
        <f t="array" aca="1" ref="AF29" ca="1">IF(ROWS($A$11:$A29)&lt;=COUNTIF('SL bán theo ngày'!$A$9:$A$82,"?*"),INDEX('SL bán theo ngày'!AI$9:AI$82,ROWS($A$11:$A29)),"")</f>
        <v/>
      </c>
      <c r="AG29" s="49" t="str">
        <f t="array" aca="1" ref="AG29" ca="1">IF(ROWS($A$11:$A29)&lt;=COUNTIF('SL bán theo ngày'!$A$9:$A$82,"?*"),INDEX('SL bán theo ngày'!C$9:C$82,ROWS($A$11:$A29)),"")</f>
        <v/>
      </c>
      <c r="AH29" s="74" t="str">
        <f t="array" aca="1" ref="AH29" ca="1">IF(ROWS($A$11:$A29)&lt;=COUNTIF('SL bán theo ngày'!$A$9:$A$82,"?*"),INDEX('SL bán theo ngày'!D$9:D$82,ROWS($A$11:$A29)),"")</f>
        <v/>
      </c>
      <c r="AI29" s="49" t="str">
        <f t="array" aca="1" ref="AI29" ca="1">IF(ROWS($A$11:$A29)&lt;=COUNTIF('SL bán theo ngày'!$A$9:$A$82,"?*"),INDEX('SL bán theo ngày'!E$9:E$82,ROWS($A$11:$A29)),"")</f>
        <v/>
      </c>
      <c r="AJ29" s="49" t="str">
        <f t="array" aca="1" ref="AJ29" ca="1">IF(ROWS($A$11:$A29)&lt;=COUNTIF('SL bán theo ngày'!$A$9:$A$82,"?*"),INDEX('SL bán theo ngày'!AJ$9:AJ$82,ROWS($A$11:$A29)),"")</f>
        <v/>
      </c>
      <c r="AK29" s="49" t="str">
        <f t="array" aca="1" ref="AK29" ca="1">IF(ROWS($A$11:$A29)&lt;=COUNTIF('SL bán theo ngày'!$A$9:$A$82,"?*"),INDEX('SL bán theo ngày'!AK$9:AK$82,ROWS($A$11:$A29)),"")</f>
        <v/>
      </c>
    </row>
    <row r="30" spans="1:37" ht="15.75" customHeight="1" x14ac:dyDescent="0.25">
      <c r="A30" s="27" t="str">
        <f t="array" aca="1" ref="A30" ca="1">IF(ROWS($A$11:$A30)&lt;=COUNTIF('SL bán theo ngày'!$A$9:$A$82,"?*"),INDEX('SL bán theo ngày'!A$9:A$82,ROWS($A$11:$A30)),"")</f>
        <v/>
      </c>
      <c r="B30" s="37" t="str">
        <f t="array" aca="1" ref="B30" ca="1">IF(ROWS($A$11:$A30)&lt;=COUNTIF('SL bán theo ngày'!$A$9:$A$82,"?*"),INDEX('SL bán theo ngày'!B$9:B$82,ROWS($A$11:$A30)),"")</f>
        <v/>
      </c>
      <c r="C30" s="79" t="str">
        <f t="array" aca="1" ref="C30" ca="1">IF(ROWS($A$11:$A30)&lt;=COUNTIF('SL bán theo ngày'!$A$9:$A$82,"?*"),INDEX('SL bán theo ngày'!F$9:F$82,ROWS($A$11:$A30)),"")</f>
        <v/>
      </c>
      <c r="D30" s="49" t="str">
        <f t="array" aca="1" ref="D30" ca="1">IF(ROWS($A$11:$A30)&lt;=COUNTIF('SL bán theo ngày'!$A$9:$A$82,"?*"),INDEX('SL bán theo ngày'!G$9:G$82,ROWS($A$11:$A30)),"")</f>
        <v/>
      </c>
      <c r="E30" s="49" t="str">
        <f t="array" aca="1" ref="E30" ca="1">IF(ROWS($A$11:$A30)&lt;=COUNTIF('SL bán theo ngày'!$A$9:$A$82,"?*"),INDEX('SL bán theo ngày'!H$9:H$82,ROWS($A$11:$A30)),"")</f>
        <v/>
      </c>
      <c r="F30" s="49" t="str">
        <f t="array" aca="1" ref="F30" ca="1">IF(ROWS($A$11:$A30)&lt;=COUNTIF('SL bán theo ngày'!$A$9:$A$82,"?*"),INDEX('SL bán theo ngày'!I$9:I$82,ROWS($A$11:$A30)),"")</f>
        <v/>
      </c>
      <c r="G30" s="49" t="str">
        <f t="array" aca="1" ref="G30" ca="1">IF(ROWS($A$11:$A30)&lt;=COUNTIF('SL bán theo ngày'!$A$9:$A$82,"?*"),INDEX('SL bán theo ngày'!J$9:J$82,ROWS($A$11:$A30)),"")</f>
        <v/>
      </c>
      <c r="H30" s="49" t="str">
        <f t="array" aca="1" ref="H30" ca="1">IF(ROWS($A$11:$A30)&lt;=COUNTIF('SL bán theo ngày'!$A$9:$A$82,"?*"),INDEX('SL bán theo ngày'!K$9:K$82,ROWS($A$11:$A30)),"")</f>
        <v/>
      </c>
      <c r="I30" s="49" t="str">
        <f t="array" aca="1" ref="I30" ca="1">IF(ROWS($A$11:$A30)&lt;=COUNTIF('SL bán theo ngày'!$A$9:$A$82,"?*"),INDEX('SL bán theo ngày'!L$9:L$82,ROWS($A$11:$A30)),"")</f>
        <v/>
      </c>
      <c r="J30" s="49" t="str">
        <f t="array" aca="1" ref="J30" ca="1">IF(ROWS($A$11:$A30)&lt;=COUNTIF('SL bán theo ngày'!$A$9:$A$82,"?*"),INDEX('SL bán theo ngày'!M$9:M$82,ROWS($A$11:$A30)),"")</f>
        <v/>
      </c>
      <c r="K30" s="49" t="str">
        <f t="array" aca="1" ref="K30" ca="1">IF(ROWS($A$11:$A30)&lt;=COUNTIF('SL bán theo ngày'!$A$9:$A$82,"?*"),INDEX('SL bán theo ngày'!N$9:N$82,ROWS($A$11:$A30)),"")</f>
        <v/>
      </c>
      <c r="L30" s="49" t="str">
        <f t="array" aca="1" ref="L30" ca="1">IF(ROWS($A$11:$A30)&lt;=COUNTIF('SL bán theo ngày'!$A$9:$A$82,"?*"),INDEX('SL bán theo ngày'!O$9:O$82,ROWS($A$11:$A30)),"")</f>
        <v/>
      </c>
      <c r="M30" s="49" t="str">
        <f t="array" aca="1" ref="M30" ca="1">IF(ROWS($A$11:$A30)&lt;=COUNTIF('SL bán theo ngày'!$A$9:$A$82,"?*"),INDEX('SL bán theo ngày'!P$9:P$82,ROWS($A$11:$A30)),"")</f>
        <v/>
      </c>
      <c r="N30" s="49" t="str">
        <f t="array" aca="1" ref="N30" ca="1">IF(ROWS($A$11:$A30)&lt;=COUNTIF('SL bán theo ngày'!$A$9:$A$82,"?*"),INDEX('SL bán theo ngày'!Q$9:Q$82,ROWS($A$11:$A30)),"")</f>
        <v/>
      </c>
      <c r="O30" s="49" t="str">
        <f t="array" aca="1" ref="O30" ca="1">IF(ROWS($A$11:$A30)&lt;=COUNTIF('SL bán theo ngày'!$A$9:$A$82,"?*"),INDEX('SL bán theo ngày'!R$9:R$82,ROWS($A$11:$A30)),"")</f>
        <v/>
      </c>
      <c r="P30" s="49" t="str">
        <f t="array" aca="1" ref="P30" ca="1">IF(ROWS($A$11:$A30)&lt;=COUNTIF('SL bán theo ngày'!$A$9:$A$82,"?*"),INDEX('SL bán theo ngày'!S$9:S$82,ROWS($A$11:$A30)),"")</f>
        <v/>
      </c>
      <c r="Q30" s="49" t="str">
        <f t="array" aca="1" ref="Q30" ca="1">IF(ROWS($A$11:$A30)&lt;=COUNTIF('SL bán theo ngày'!$A$9:$A$82,"?*"),INDEX('SL bán theo ngày'!T$9:T$82,ROWS($A$11:$A30)),"")</f>
        <v/>
      </c>
      <c r="R30" s="49" t="str">
        <f t="array" aca="1" ref="R30" ca="1">IF(ROWS($A$11:$A30)&lt;=COUNTIF('SL bán theo ngày'!$A$9:$A$82,"?*"),INDEX('SL bán theo ngày'!U$9:U$82,ROWS($A$11:$A30)),"")</f>
        <v/>
      </c>
      <c r="S30" s="49" t="str">
        <f t="array" aca="1" ref="S30" ca="1">IF(ROWS($A$11:$A30)&lt;=COUNTIF('SL bán theo ngày'!$A$9:$A$82,"?*"),INDEX('SL bán theo ngày'!V$9:V$82,ROWS($A$11:$A30)),"")</f>
        <v/>
      </c>
      <c r="T30" s="49" t="str">
        <f t="array" aca="1" ref="T30" ca="1">IF(ROWS($A$11:$A30)&lt;=COUNTIF('SL bán theo ngày'!$A$9:$A$82,"?*"),INDEX('SL bán theo ngày'!W$9:W$82,ROWS($A$11:$A30)),"")</f>
        <v/>
      </c>
      <c r="U30" s="49" t="str">
        <f t="array" aca="1" ref="U30" ca="1">IF(ROWS($A$11:$A30)&lt;=COUNTIF('SL bán theo ngày'!$A$9:$A$82,"?*"),INDEX('SL bán theo ngày'!X$9:X$82,ROWS($A$11:$A30)),"")</f>
        <v/>
      </c>
      <c r="V30" s="49" t="str">
        <f t="array" aca="1" ref="V30" ca="1">IF(ROWS($A$11:$A30)&lt;=COUNTIF('SL bán theo ngày'!$A$9:$A$82,"?*"),INDEX('SL bán theo ngày'!Y$9:Y$82,ROWS($A$11:$A30)),"")</f>
        <v/>
      </c>
      <c r="W30" s="49" t="str">
        <f t="array" aca="1" ref="W30" ca="1">IF(ROWS($A$11:$A30)&lt;=COUNTIF('SL bán theo ngày'!$A$9:$A$82,"?*"),INDEX('SL bán theo ngày'!Z$9:Z$82,ROWS($A$11:$A30)),"")</f>
        <v/>
      </c>
      <c r="X30" s="49" t="str">
        <f t="array" aca="1" ref="X30" ca="1">IF(ROWS($A$11:$A30)&lt;=COUNTIF('SL bán theo ngày'!$A$9:$A$82,"?*"),INDEX('SL bán theo ngày'!AA$9:AA$82,ROWS($A$11:$A30)),"")</f>
        <v/>
      </c>
      <c r="Y30" s="49" t="str">
        <f t="array" aca="1" ref="Y30" ca="1">IF(ROWS($A$11:$A30)&lt;=COUNTIF('SL bán theo ngày'!$A$9:$A$82,"?*"),INDEX('SL bán theo ngày'!AB$9:AB$82,ROWS($A$11:$A30)),"")</f>
        <v/>
      </c>
      <c r="Z30" s="49" t="str">
        <f t="array" aca="1" ref="Z30" ca="1">IF(ROWS($A$11:$A30)&lt;=COUNTIF('SL bán theo ngày'!$A$9:$A$82,"?*"),INDEX('SL bán theo ngày'!AC$9:AC$82,ROWS($A$11:$A30)),"")</f>
        <v/>
      </c>
      <c r="AA30" s="49" t="str">
        <f t="array" aca="1" ref="AA30" ca="1">IF(ROWS($A$11:$A30)&lt;=COUNTIF('SL bán theo ngày'!$A$9:$A$82,"?*"),INDEX('SL bán theo ngày'!AD$9:AD$82,ROWS($A$11:$A30)),"")</f>
        <v/>
      </c>
      <c r="AB30" s="49" t="str">
        <f t="array" aca="1" ref="AB30" ca="1">IF(ROWS($A$11:$A30)&lt;=COUNTIF('SL bán theo ngày'!$A$9:$A$82,"?*"),INDEX('SL bán theo ngày'!AE$9:AE$82,ROWS($A$11:$A30)),"")</f>
        <v/>
      </c>
      <c r="AC30" s="49" t="str">
        <f t="array" aca="1" ref="AC30" ca="1">IF(ROWS($A$11:$A30)&lt;=COUNTIF('SL bán theo ngày'!$A$9:$A$82,"?*"),INDEX('SL bán theo ngày'!AF$9:AF$82,ROWS($A$11:$A30)),"")</f>
        <v/>
      </c>
      <c r="AD30" s="49" t="str">
        <f t="array" aca="1" ref="AD30" ca="1">IF(ROWS($A$11:$A30)&lt;=COUNTIF('SL bán theo ngày'!$A$9:$A$82,"?*"),INDEX('SL bán theo ngày'!AG$9:AG$82,ROWS($A$11:$A30)),"")</f>
        <v/>
      </c>
      <c r="AE30" s="49" t="str">
        <f t="array" aca="1" ref="AE30" ca="1">IF(ROWS($A$11:$A30)&lt;=COUNTIF('SL bán theo ngày'!$A$9:$A$82,"?*"),INDEX('SL bán theo ngày'!AH$9:AH$82,ROWS($A$11:$A30)),"")</f>
        <v/>
      </c>
      <c r="AF30" s="49" t="str">
        <f t="array" aca="1" ref="AF30" ca="1">IF(ROWS($A$11:$A30)&lt;=COUNTIF('SL bán theo ngày'!$A$9:$A$82,"?*"),INDEX('SL bán theo ngày'!AI$9:AI$82,ROWS($A$11:$A30)),"")</f>
        <v/>
      </c>
      <c r="AG30" s="49" t="str">
        <f t="array" aca="1" ref="AG30" ca="1">IF(ROWS($A$11:$A30)&lt;=COUNTIF('SL bán theo ngày'!$A$9:$A$82,"?*"),INDEX('SL bán theo ngày'!C$9:C$82,ROWS($A$11:$A30)),"")</f>
        <v/>
      </c>
      <c r="AH30" s="74" t="str">
        <f t="array" aca="1" ref="AH30" ca="1">IF(ROWS($A$11:$A30)&lt;=COUNTIF('SL bán theo ngày'!$A$9:$A$82,"?*"),INDEX('SL bán theo ngày'!D$9:D$82,ROWS($A$11:$A30)),"")</f>
        <v/>
      </c>
      <c r="AI30" s="49" t="str">
        <f t="array" aca="1" ref="AI30" ca="1">IF(ROWS($A$11:$A30)&lt;=COUNTIF('SL bán theo ngày'!$A$9:$A$82,"?*"),INDEX('SL bán theo ngày'!E$9:E$82,ROWS($A$11:$A30)),"")</f>
        <v/>
      </c>
      <c r="AJ30" s="49" t="str">
        <f t="array" aca="1" ref="AJ30" ca="1">IF(ROWS($A$11:$A30)&lt;=COUNTIF('SL bán theo ngày'!$A$9:$A$82,"?*"),INDEX('SL bán theo ngày'!AJ$9:AJ$82,ROWS($A$11:$A30)),"")</f>
        <v/>
      </c>
      <c r="AK30" s="49" t="str">
        <f t="array" aca="1" ref="AK30" ca="1">IF(ROWS($A$11:$A30)&lt;=COUNTIF('SL bán theo ngày'!$A$9:$A$82,"?*"),INDEX('SL bán theo ngày'!AK$9:AK$82,ROWS($A$11:$A30)),"")</f>
        <v/>
      </c>
    </row>
    <row r="31" spans="1:37" ht="15.75" customHeight="1" x14ac:dyDescent="0.25">
      <c r="A31" s="27" t="str">
        <f t="array" aca="1" ref="A31" ca="1">IF(ROWS($A$11:$A31)&lt;=COUNTIF('SL bán theo ngày'!$A$9:$A$82,"?*"),INDEX('SL bán theo ngày'!A$9:A$82,ROWS($A$11:$A31)),"")</f>
        <v/>
      </c>
      <c r="B31" s="37" t="str">
        <f t="array" aca="1" ref="B31" ca="1">IF(ROWS($A$11:$A31)&lt;=COUNTIF('SL bán theo ngày'!$A$9:$A$82,"?*"),INDEX('SL bán theo ngày'!B$9:B$82,ROWS($A$11:$A31)),"")</f>
        <v/>
      </c>
      <c r="C31" s="79" t="str">
        <f t="array" aca="1" ref="C31" ca="1">IF(ROWS($A$11:$A31)&lt;=COUNTIF('SL bán theo ngày'!$A$9:$A$82,"?*"),INDEX('SL bán theo ngày'!F$9:F$82,ROWS($A$11:$A31)),"")</f>
        <v/>
      </c>
      <c r="D31" s="49" t="str">
        <f t="array" aca="1" ref="D31" ca="1">IF(ROWS($A$11:$A31)&lt;=COUNTIF('SL bán theo ngày'!$A$9:$A$82,"?*"),INDEX('SL bán theo ngày'!G$9:G$82,ROWS($A$11:$A31)),"")</f>
        <v/>
      </c>
      <c r="E31" s="49" t="str">
        <f t="array" aca="1" ref="E31" ca="1">IF(ROWS($A$11:$A31)&lt;=COUNTIF('SL bán theo ngày'!$A$9:$A$82,"?*"),INDEX('SL bán theo ngày'!H$9:H$82,ROWS($A$11:$A31)),"")</f>
        <v/>
      </c>
      <c r="F31" s="49" t="str">
        <f t="array" aca="1" ref="F31" ca="1">IF(ROWS($A$11:$A31)&lt;=COUNTIF('SL bán theo ngày'!$A$9:$A$82,"?*"),INDEX('SL bán theo ngày'!I$9:I$82,ROWS($A$11:$A31)),"")</f>
        <v/>
      </c>
      <c r="G31" s="49" t="str">
        <f t="array" aca="1" ref="G31" ca="1">IF(ROWS($A$11:$A31)&lt;=COUNTIF('SL bán theo ngày'!$A$9:$A$82,"?*"),INDEX('SL bán theo ngày'!J$9:J$82,ROWS($A$11:$A31)),"")</f>
        <v/>
      </c>
      <c r="H31" s="49" t="str">
        <f t="array" aca="1" ref="H31" ca="1">IF(ROWS($A$11:$A31)&lt;=COUNTIF('SL bán theo ngày'!$A$9:$A$82,"?*"),INDEX('SL bán theo ngày'!K$9:K$82,ROWS($A$11:$A31)),"")</f>
        <v/>
      </c>
      <c r="I31" s="49" t="str">
        <f t="array" aca="1" ref="I31" ca="1">IF(ROWS($A$11:$A31)&lt;=COUNTIF('SL bán theo ngày'!$A$9:$A$82,"?*"),INDEX('SL bán theo ngày'!L$9:L$82,ROWS($A$11:$A31)),"")</f>
        <v/>
      </c>
      <c r="J31" s="49" t="str">
        <f t="array" aca="1" ref="J31" ca="1">IF(ROWS($A$11:$A31)&lt;=COUNTIF('SL bán theo ngày'!$A$9:$A$82,"?*"),INDEX('SL bán theo ngày'!M$9:M$82,ROWS($A$11:$A31)),"")</f>
        <v/>
      </c>
      <c r="K31" s="49" t="str">
        <f t="array" aca="1" ref="K31" ca="1">IF(ROWS($A$11:$A31)&lt;=COUNTIF('SL bán theo ngày'!$A$9:$A$82,"?*"),INDEX('SL bán theo ngày'!N$9:N$82,ROWS($A$11:$A31)),"")</f>
        <v/>
      </c>
      <c r="L31" s="49" t="str">
        <f t="array" aca="1" ref="L31" ca="1">IF(ROWS($A$11:$A31)&lt;=COUNTIF('SL bán theo ngày'!$A$9:$A$82,"?*"),INDEX('SL bán theo ngày'!O$9:O$82,ROWS($A$11:$A31)),"")</f>
        <v/>
      </c>
      <c r="M31" s="49" t="str">
        <f t="array" aca="1" ref="M31" ca="1">IF(ROWS($A$11:$A31)&lt;=COUNTIF('SL bán theo ngày'!$A$9:$A$82,"?*"),INDEX('SL bán theo ngày'!P$9:P$82,ROWS($A$11:$A31)),"")</f>
        <v/>
      </c>
      <c r="N31" s="49" t="str">
        <f t="array" aca="1" ref="N31" ca="1">IF(ROWS($A$11:$A31)&lt;=COUNTIF('SL bán theo ngày'!$A$9:$A$82,"?*"),INDEX('SL bán theo ngày'!Q$9:Q$82,ROWS($A$11:$A31)),"")</f>
        <v/>
      </c>
      <c r="O31" s="49" t="str">
        <f t="array" aca="1" ref="O31" ca="1">IF(ROWS($A$11:$A31)&lt;=COUNTIF('SL bán theo ngày'!$A$9:$A$82,"?*"),INDEX('SL bán theo ngày'!R$9:R$82,ROWS($A$11:$A31)),"")</f>
        <v/>
      </c>
      <c r="P31" s="49" t="str">
        <f t="array" aca="1" ref="P31" ca="1">IF(ROWS($A$11:$A31)&lt;=COUNTIF('SL bán theo ngày'!$A$9:$A$82,"?*"),INDEX('SL bán theo ngày'!S$9:S$82,ROWS($A$11:$A31)),"")</f>
        <v/>
      </c>
      <c r="Q31" s="49" t="str">
        <f t="array" aca="1" ref="Q31" ca="1">IF(ROWS($A$11:$A31)&lt;=COUNTIF('SL bán theo ngày'!$A$9:$A$82,"?*"),INDEX('SL bán theo ngày'!T$9:T$82,ROWS($A$11:$A31)),"")</f>
        <v/>
      </c>
      <c r="R31" s="49" t="str">
        <f t="array" aca="1" ref="R31" ca="1">IF(ROWS($A$11:$A31)&lt;=COUNTIF('SL bán theo ngày'!$A$9:$A$82,"?*"),INDEX('SL bán theo ngày'!U$9:U$82,ROWS($A$11:$A31)),"")</f>
        <v/>
      </c>
      <c r="S31" s="49" t="str">
        <f t="array" aca="1" ref="S31" ca="1">IF(ROWS($A$11:$A31)&lt;=COUNTIF('SL bán theo ngày'!$A$9:$A$82,"?*"),INDEX('SL bán theo ngày'!V$9:V$82,ROWS($A$11:$A31)),"")</f>
        <v/>
      </c>
      <c r="T31" s="49" t="str">
        <f t="array" aca="1" ref="T31" ca="1">IF(ROWS($A$11:$A31)&lt;=COUNTIF('SL bán theo ngày'!$A$9:$A$82,"?*"),INDEX('SL bán theo ngày'!W$9:W$82,ROWS($A$11:$A31)),"")</f>
        <v/>
      </c>
      <c r="U31" s="49" t="str">
        <f t="array" aca="1" ref="U31" ca="1">IF(ROWS($A$11:$A31)&lt;=COUNTIF('SL bán theo ngày'!$A$9:$A$82,"?*"),INDEX('SL bán theo ngày'!X$9:X$82,ROWS($A$11:$A31)),"")</f>
        <v/>
      </c>
      <c r="V31" s="49" t="str">
        <f t="array" aca="1" ref="V31" ca="1">IF(ROWS($A$11:$A31)&lt;=COUNTIF('SL bán theo ngày'!$A$9:$A$82,"?*"),INDEX('SL bán theo ngày'!Y$9:Y$82,ROWS($A$11:$A31)),"")</f>
        <v/>
      </c>
      <c r="W31" s="49" t="str">
        <f t="array" aca="1" ref="W31" ca="1">IF(ROWS($A$11:$A31)&lt;=COUNTIF('SL bán theo ngày'!$A$9:$A$82,"?*"),INDEX('SL bán theo ngày'!Z$9:Z$82,ROWS($A$11:$A31)),"")</f>
        <v/>
      </c>
      <c r="X31" s="49" t="str">
        <f t="array" aca="1" ref="X31" ca="1">IF(ROWS($A$11:$A31)&lt;=COUNTIF('SL bán theo ngày'!$A$9:$A$82,"?*"),INDEX('SL bán theo ngày'!AA$9:AA$82,ROWS($A$11:$A31)),"")</f>
        <v/>
      </c>
      <c r="Y31" s="49" t="str">
        <f t="array" aca="1" ref="Y31" ca="1">IF(ROWS($A$11:$A31)&lt;=COUNTIF('SL bán theo ngày'!$A$9:$A$82,"?*"),INDEX('SL bán theo ngày'!AB$9:AB$82,ROWS($A$11:$A31)),"")</f>
        <v/>
      </c>
      <c r="Z31" s="49" t="str">
        <f t="array" aca="1" ref="Z31" ca="1">IF(ROWS($A$11:$A31)&lt;=COUNTIF('SL bán theo ngày'!$A$9:$A$82,"?*"),INDEX('SL bán theo ngày'!AC$9:AC$82,ROWS($A$11:$A31)),"")</f>
        <v/>
      </c>
      <c r="AA31" s="49" t="str">
        <f t="array" aca="1" ref="AA31" ca="1">IF(ROWS($A$11:$A31)&lt;=COUNTIF('SL bán theo ngày'!$A$9:$A$82,"?*"),INDEX('SL bán theo ngày'!AD$9:AD$82,ROWS($A$11:$A31)),"")</f>
        <v/>
      </c>
      <c r="AB31" s="49" t="str">
        <f t="array" aca="1" ref="AB31" ca="1">IF(ROWS($A$11:$A31)&lt;=COUNTIF('SL bán theo ngày'!$A$9:$A$82,"?*"),INDEX('SL bán theo ngày'!AE$9:AE$82,ROWS($A$11:$A31)),"")</f>
        <v/>
      </c>
      <c r="AC31" s="49" t="str">
        <f t="array" aca="1" ref="AC31" ca="1">IF(ROWS($A$11:$A31)&lt;=COUNTIF('SL bán theo ngày'!$A$9:$A$82,"?*"),INDEX('SL bán theo ngày'!AF$9:AF$82,ROWS($A$11:$A31)),"")</f>
        <v/>
      </c>
      <c r="AD31" s="49" t="str">
        <f t="array" aca="1" ref="AD31" ca="1">IF(ROWS($A$11:$A31)&lt;=COUNTIF('SL bán theo ngày'!$A$9:$A$82,"?*"),INDEX('SL bán theo ngày'!AG$9:AG$82,ROWS($A$11:$A31)),"")</f>
        <v/>
      </c>
      <c r="AE31" s="49" t="str">
        <f t="array" aca="1" ref="AE31" ca="1">IF(ROWS($A$11:$A31)&lt;=COUNTIF('SL bán theo ngày'!$A$9:$A$82,"?*"),INDEX('SL bán theo ngày'!AH$9:AH$82,ROWS($A$11:$A31)),"")</f>
        <v/>
      </c>
      <c r="AF31" s="49" t="str">
        <f t="array" aca="1" ref="AF31" ca="1">IF(ROWS($A$11:$A31)&lt;=COUNTIF('SL bán theo ngày'!$A$9:$A$82,"?*"),INDEX('SL bán theo ngày'!AI$9:AI$82,ROWS($A$11:$A31)),"")</f>
        <v/>
      </c>
      <c r="AG31" s="49" t="str">
        <f t="array" aca="1" ref="AG31" ca="1">IF(ROWS($A$11:$A31)&lt;=COUNTIF('SL bán theo ngày'!$A$9:$A$82,"?*"),INDEX('SL bán theo ngày'!C$9:C$82,ROWS($A$11:$A31)),"")</f>
        <v/>
      </c>
      <c r="AH31" s="74" t="str">
        <f t="array" aca="1" ref="AH31" ca="1">IF(ROWS($A$11:$A31)&lt;=COUNTIF('SL bán theo ngày'!$A$9:$A$82,"?*"),INDEX('SL bán theo ngày'!D$9:D$82,ROWS($A$11:$A31)),"")</f>
        <v/>
      </c>
      <c r="AI31" s="49" t="str">
        <f t="array" aca="1" ref="AI31" ca="1">IF(ROWS($A$11:$A31)&lt;=COUNTIF('SL bán theo ngày'!$A$9:$A$82,"?*"),INDEX('SL bán theo ngày'!E$9:E$82,ROWS($A$11:$A31)),"")</f>
        <v/>
      </c>
      <c r="AJ31" s="49" t="str">
        <f t="array" aca="1" ref="AJ31" ca="1">IF(ROWS($A$11:$A31)&lt;=COUNTIF('SL bán theo ngày'!$A$9:$A$82,"?*"),INDEX('SL bán theo ngày'!AJ$9:AJ$82,ROWS($A$11:$A31)),"")</f>
        <v/>
      </c>
      <c r="AK31" s="49" t="str">
        <f t="array" aca="1" ref="AK31" ca="1">IF(ROWS($A$11:$A31)&lt;=COUNTIF('SL bán theo ngày'!$A$9:$A$82,"?*"),INDEX('SL bán theo ngày'!AK$9:AK$82,ROWS($A$11:$A31)),"")</f>
        <v/>
      </c>
    </row>
    <row r="32" spans="1:37" ht="15.75" customHeight="1" x14ac:dyDescent="0.25">
      <c r="A32" s="33" t="str">
        <f t="array" aca="1" ref="A32" ca="1">IF(ROWS($A$11:$A32)&lt;=COUNTIF('SL bán theo ngày'!$A$9:$A$82,"?*"),INDEX('SL bán theo ngày'!A$9:A$82,ROWS($A$11:$A32)),"")</f>
        <v/>
      </c>
      <c r="B32" s="37" t="str">
        <f t="array" aca="1" ref="B32" ca="1">IF(ROWS($A$11:$A32)&lt;=COUNTIF('SL bán theo ngày'!$A$9:$A$82,"?*"),INDEX('SL bán theo ngày'!B$9:B$82,ROWS($A$11:$A32)),"")</f>
        <v/>
      </c>
      <c r="C32" s="79" t="str">
        <f t="array" aca="1" ref="C32" ca="1">IF(ROWS($A$11:$A32)&lt;=COUNTIF('SL bán theo ngày'!$A$9:$A$82,"?*"),INDEX('SL bán theo ngày'!F$9:F$82,ROWS($A$11:$A32)),"")</f>
        <v/>
      </c>
      <c r="D32" s="49" t="str">
        <f t="array" aca="1" ref="D32" ca="1">IF(ROWS($A$11:$A32)&lt;=COUNTIF('SL bán theo ngày'!$A$9:$A$82,"?*"),INDEX('SL bán theo ngày'!G$9:G$82,ROWS($A$11:$A32)),"")</f>
        <v/>
      </c>
      <c r="E32" s="49" t="str">
        <f t="array" aca="1" ref="E32" ca="1">IF(ROWS($A$11:$A32)&lt;=COUNTIF('SL bán theo ngày'!$A$9:$A$82,"?*"),INDEX('SL bán theo ngày'!H$9:H$82,ROWS($A$11:$A32)),"")</f>
        <v/>
      </c>
      <c r="F32" s="49" t="str">
        <f t="array" aca="1" ref="F32" ca="1">IF(ROWS($A$11:$A32)&lt;=COUNTIF('SL bán theo ngày'!$A$9:$A$82,"?*"),INDEX('SL bán theo ngày'!I$9:I$82,ROWS($A$11:$A32)),"")</f>
        <v/>
      </c>
      <c r="G32" s="49" t="str">
        <f t="array" aca="1" ref="G32" ca="1">IF(ROWS($A$11:$A32)&lt;=COUNTIF('SL bán theo ngày'!$A$9:$A$82,"?*"),INDEX('SL bán theo ngày'!J$9:J$82,ROWS($A$11:$A32)),"")</f>
        <v/>
      </c>
      <c r="H32" s="49" t="str">
        <f t="array" aca="1" ref="H32" ca="1">IF(ROWS($A$11:$A32)&lt;=COUNTIF('SL bán theo ngày'!$A$9:$A$82,"?*"),INDEX('SL bán theo ngày'!K$9:K$82,ROWS($A$11:$A32)),"")</f>
        <v/>
      </c>
      <c r="I32" s="49" t="str">
        <f t="array" aca="1" ref="I32" ca="1">IF(ROWS($A$11:$A32)&lt;=COUNTIF('SL bán theo ngày'!$A$9:$A$82,"?*"),INDEX('SL bán theo ngày'!L$9:L$82,ROWS($A$11:$A32)),"")</f>
        <v/>
      </c>
      <c r="J32" s="49" t="str">
        <f t="array" aca="1" ref="J32" ca="1">IF(ROWS($A$11:$A32)&lt;=COUNTIF('SL bán theo ngày'!$A$9:$A$82,"?*"),INDEX('SL bán theo ngày'!M$9:M$82,ROWS($A$11:$A32)),"")</f>
        <v/>
      </c>
      <c r="K32" s="49" t="str">
        <f t="array" aca="1" ref="K32" ca="1">IF(ROWS($A$11:$A32)&lt;=COUNTIF('SL bán theo ngày'!$A$9:$A$82,"?*"),INDEX('SL bán theo ngày'!N$9:N$82,ROWS($A$11:$A32)),"")</f>
        <v/>
      </c>
      <c r="L32" s="49" t="str">
        <f t="array" aca="1" ref="L32" ca="1">IF(ROWS($A$11:$A32)&lt;=COUNTIF('SL bán theo ngày'!$A$9:$A$82,"?*"),INDEX('SL bán theo ngày'!O$9:O$82,ROWS($A$11:$A32)),"")</f>
        <v/>
      </c>
      <c r="M32" s="49" t="str">
        <f t="array" aca="1" ref="M32" ca="1">IF(ROWS($A$11:$A32)&lt;=COUNTIF('SL bán theo ngày'!$A$9:$A$82,"?*"),INDEX('SL bán theo ngày'!P$9:P$82,ROWS($A$11:$A32)),"")</f>
        <v/>
      </c>
      <c r="N32" s="49" t="str">
        <f t="array" aca="1" ref="N32" ca="1">IF(ROWS($A$11:$A32)&lt;=COUNTIF('SL bán theo ngày'!$A$9:$A$82,"?*"),INDEX('SL bán theo ngày'!Q$9:Q$82,ROWS($A$11:$A32)),"")</f>
        <v/>
      </c>
      <c r="O32" s="49" t="str">
        <f t="array" aca="1" ref="O32" ca="1">IF(ROWS($A$11:$A32)&lt;=COUNTIF('SL bán theo ngày'!$A$9:$A$82,"?*"),INDEX('SL bán theo ngày'!R$9:R$82,ROWS($A$11:$A32)),"")</f>
        <v/>
      </c>
      <c r="P32" s="49" t="str">
        <f t="array" aca="1" ref="P32" ca="1">IF(ROWS($A$11:$A32)&lt;=COUNTIF('SL bán theo ngày'!$A$9:$A$82,"?*"),INDEX('SL bán theo ngày'!S$9:S$82,ROWS($A$11:$A32)),"")</f>
        <v/>
      </c>
      <c r="Q32" s="49" t="str">
        <f t="array" aca="1" ref="Q32" ca="1">IF(ROWS($A$11:$A32)&lt;=COUNTIF('SL bán theo ngày'!$A$9:$A$82,"?*"),INDEX('SL bán theo ngày'!T$9:T$82,ROWS($A$11:$A32)),"")</f>
        <v/>
      </c>
      <c r="R32" s="49" t="str">
        <f t="array" aca="1" ref="R32" ca="1">IF(ROWS($A$11:$A32)&lt;=COUNTIF('SL bán theo ngày'!$A$9:$A$82,"?*"),INDEX('SL bán theo ngày'!U$9:U$82,ROWS($A$11:$A32)),"")</f>
        <v/>
      </c>
      <c r="S32" s="49" t="str">
        <f t="array" aca="1" ref="S32" ca="1">IF(ROWS($A$11:$A32)&lt;=COUNTIF('SL bán theo ngày'!$A$9:$A$82,"?*"),INDEX('SL bán theo ngày'!V$9:V$82,ROWS($A$11:$A32)),"")</f>
        <v/>
      </c>
      <c r="T32" s="49" t="str">
        <f t="array" aca="1" ref="T32" ca="1">IF(ROWS($A$11:$A32)&lt;=COUNTIF('SL bán theo ngày'!$A$9:$A$82,"?*"),INDEX('SL bán theo ngày'!W$9:W$82,ROWS($A$11:$A32)),"")</f>
        <v/>
      </c>
      <c r="U32" s="49" t="str">
        <f t="array" aca="1" ref="U32" ca="1">IF(ROWS($A$11:$A32)&lt;=COUNTIF('SL bán theo ngày'!$A$9:$A$82,"?*"),INDEX('SL bán theo ngày'!X$9:X$82,ROWS($A$11:$A32)),"")</f>
        <v/>
      </c>
      <c r="V32" s="49" t="str">
        <f t="array" aca="1" ref="V32" ca="1">IF(ROWS($A$11:$A32)&lt;=COUNTIF('SL bán theo ngày'!$A$9:$A$82,"?*"),INDEX('SL bán theo ngày'!Y$9:Y$82,ROWS($A$11:$A32)),"")</f>
        <v/>
      </c>
      <c r="W32" s="49" t="str">
        <f t="array" aca="1" ref="W32" ca="1">IF(ROWS($A$11:$A32)&lt;=COUNTIF('SL bán theo ngày'!$A$9:$A$82,"?*"),INDEX('SL bán theo ngày'!Z$9:Z$82,ROWS($A$11:$A32)),"")</f>
        <v/>
      </c>
      <c r="X32" s="49" t="str">
        <f t="array" aca="1" ref="X32" ca="1">IF(ROWS($A$11:$A32)&lt;=COUNTIF('SL bán theo ngày'!$A$9:$A$82,"?*"),INDEX('SL bán theo ngày'!AA$9:AA$82,ROWS($A$11:$A32)),"")</f>
        <v/>
      </c>
      <c r="Y32" s="49" t="str">
        <f t="array" aca="1" ref="Y32" ca="1">IF(ROWS($A$11:$A32)&lt;=COUNTIF('SL bán theo ngày'!$A$9:$A$82,"?*"),INDEX('SL bán theo ngày'!AB$9:AB$82,ROWS($A$11:$A32)),"")</f>
        <v/>
      </c>
      <c r="Z32" s="49" t="str">
        <f t="array" aca="1" ref="Z32" ca="1">IF(ROWS($A$11:$A32)&lt;=COUNTIF('SL bán theo ngày'!$A$9:$A$82,"?*"),INDEX('SL bán theo ngày'!AC$9:AC$82,ROWS($A$11:$A32)),"")</f>
        <v/>
      </c>
      <c r="AA32" s="49" t="str">
        <f t="array" aca="1" ref="AA32" ca="1">IF(ROWS($A$11:$A32)&lt;=COUNTIF('SL bán theo ngày'!$A$9:$A$82,"?*"),INDEX('SL bán theo ngày'!AD$9:AD$82,ROWS($A$11:$A32)),"")</f>
        <v/>
      </c>
      <c r="AB32" s="49" t="str">
        <f t="array" aca="1" ref="AB32" ca="1">IF(ROWS($A$11:$A32)&lt;=COUNTIF('SL bán theo ngày'!$A$9:$A$82,"?*"),INDEX('SL bán theo ngày'!AE$9:AE$82,ROWS($A$11:$A32)),"")</f>
        <v/>
      </c>
      <c r="AC32" s="49" t="str">
        <f t="array" aca="1" ref="AC32" ca="1">IF(ROWS($A$11:$A32)&lt;=COUNTIF('SL bán theo ngày'!$A$9:$A$82,"?*"),INDEX('SL bán theo ngày'!AF$9:AF$82,ROWS($A$11:$A32)),"")</f>
        <v/>
      </c>
      <c r="AD32" s="49" t="str">
        <f t="array" aca="1" ref="AD32" ca="1">IF(ROWS($A$11:$A32)&lt;=COUNTIF('SL bán theo ngày'!$A$9:$A$82,"?*"),INDEX('SL bán theo ngày'!AG$9:AG$82,ROWS($A$11:$A32)),"")</f>
        <v/>
      </c>
      <c r="AE32" s="49" t="str">
        <f t="array" aca="1" ref="AE32" ca="1">IF(ROWS($A$11:$A32)&lt;=COUNTIF('SL bán theo ngày'!$A$9:$A$82,"?*"),INDEX('SL bán theo ngày'!AH$9:AH$82,ROWS($A$11:$A32)),"")</f>
        <v/>
      </c>
      <c r="AF32" s="49" t="str">
        <f t="array" aca="1" ref="AF32" ca="1">IF(ROWS($A$11:$A32)&lt;=COUNTIF('SL bán theo ngày'!$A$9:$A$82,"?*"),INDEX('SL bán theo ngày'!AI$9:AI$82,ROWS($A$11:$A32)),"")</f>
        <v/>
      </c>
      <c r="AG32" s="49" t="str">
        <f t="array" aca="1" ref="AG32" ca="1">IF(ROWS($A$11:$A32)&lt;=COUNTIF('SL bán theo ngày'!$A$9:$A$82,"?*"),INDEX('SL bán theo ngày'!C$9:C$82,ROWS($A$11:$A32)),"")</f>
        <v/>
      </c>
      <c r="AH32" s="74" t="str">
        <f t="array" aca="1" ref="AH32" ca="1">IF(ROWS($A$11:$A32)&lt;=COUNTIF('SL bán theo ngày'!$A$9:$A$82,"?*"),INDEX('SL bán theo ngày'!D$9:D$82,ROWS($A$11:$A32)),"")</f>
        <v/>
      </c>
      <c r="AI32" s="49" t="str">
        <f t="array" aca="1" ref="AI32" ca="1">IF(ROWS($A$11:$A32)&lt;=COUNTIF('SL bán theo ngày'!$A$9:$A$82,"?*"),INDEX('SL bán theo ngày'!E$9:E$82,ROWS($A$11:$A32)),"")</f>
        <v/>
      </c>
      <c r="AJ32" s="49" t="str">
        <f t="array" aca="1" ref="AJ32" ca="1">IF(ROWS($A$11:$A32)&lt;=COUNTIF('SL bán theo ngày'!$A$9:$A$82,"?*"),INDEX('SL bán theo ngày'!AJ$9:AJ$82,ROWS($A$11:$A32)),"")</f>
        <v/>
      </c>
      <c r="AK32" s="49" t="str">
        <f t="array" aca="1" ref="AK32" ca="1">IF(ROWS($A$11:$A32)&lt;=COUNTIF('SL bán theo ngày'!$A$9:$A$82,"?*"),INDEX('SL bán theo ngày'!AK$9:AK$82,ROWS($A$11:$A32)),"")</f>
        <v/>
      </c>
    </row>
    <row r="33" spans="1:37" ht="15.75" customHeight="1" x14ac:dyDescent="0.25">
      <c r="A33" s="33" t="str">
        <f t="array" aca="1" ref="A33" ca="1">IF(ROWS($A$11:$A33)&lt;=COUNTIF('SL bán theo ngày'!$A$9:$A$82,"?*"),INDEX('SL bán theo ngày'!A$9:A$82,ROWS($A$11:$A33)),"")</f>
        <v/>
      </c>
      <c r="B33" s="37" t="str">
        <f t="array" aca="1" ref="B33" ca="1">IF(ROWS($A$11:$A33)&lt;=COUNTIF('SL bán theo ngày'!$A$9:$A$82,"?*"),INDEX('SL bán theo ngày'!B$9:B$82,ROWS($A$11:$A33)),"")</f>
        <v/>
      </c>
      <c r="C33" s="79" t="str">
        <f t="array" aca="1" ref="C33" ca="1">IF(ROWS($A$11:$A33)&lt;=COUNTIF('SL bán theo ngày'!$A$9:$A$82,"?*"),INDEX('SL bán theo ngày'!F$9:F$82,ROWS($A$11:$A33)),"")</f>
        <v/>
      </c>
      <c r="D33" s="49" t="str">
        <f t="array" aca="1" ref="D33" ca="1">IF(ROWS($A$11:$A33)&lt;=COUNTIF('SL bán theo ngày'!$A$9:$A$82,"?*"),INDEX('SL bán theo ngày'!G$9:G$82,ROWS($A$11:$A33)),"")</f>
        <v/>
      </c>
      <c r="E33" s="49" t="str">
        <f t="array" aca="1" ref="E33" ca="1">IF(ROWS($A$11:$A33)&lt;=COUNTIF('SL bán theo ngày'!$A$9:$A$82,"?*"),INDEX('SL bán theo ngày'!H$9:H$82,ROWS($A$11:$A33)),"")</f>
        <v/>
      </c>
      <c r="F33" s="49" t="str">
        <f t="array" aca="1" ref="F33" ca="1">IF(ROWS($A$11:$A33)&lt;=COUNTIF('SL bán theo ngày'!$A$9:$A$82,"?*"),INDEX('SL bán theo ngày'!I$9:I$82,ROWS($A$11:$A33)),"")</f>
        <v/>
      </c>
      <c r="G33" s="49" t="str">
        <f t="array" aca="1" ref="G33" ca="1">IF(ROWS($A$11:$A33)&lt;=COUNTIF('SL bán theo ngày'!$A$9:$A$82,"?*"),INDEX('SL bán theo ngày'!J$9:J$82,ROWS($A$11:$A33)),"")</f>
        <v/>
      </c>
      <c r="H33" s="49" t="str">
        <f t="array" aca="1" ref="H33" ca="1">IF(ROWS($A$11:$A33)&lt;=COUNTIF('SL bán theo ngày'!$A$9:$A$82,"?*"),INDEX('SL bán theo ngày'!K$9:K$82,ROWS($A$11:$A33)),"")</f>
        <v/>
      </c>
      <c r="I33" s="49" t="str">
        <f t="array" aca="1" ref="I33" ca="1">IF(ROWS($A$11:$A33)&lt;=COUNTIF('SL bán theo ngày'!$A$9:$A$82,"?*"),INDEX('SL bán theo ngày'!L$9:L$82,ROWS($A$11:$A33)),"")</f>
        <v/>
      </c>
      <c r="J33" s="49" t="str">
        <f t="array" aca="1" ref="J33" ca="1">IF(ROWS($A$11:$A33)&lt;=COUNTIF('SL bán theo ngày'!$A$9:$A$82,"?*"),INDEX('SL bán theo ngày'!M$9:M$82,ROWS($A$11:$A33)),"")</f>
        <v/>
      </c>
      <c r="K33" s="49" t="str">
        <f t="array" aca="1" ref="K33" ca="1">IF(ROWS($A$11:$A33)&lt;=COUNTIF('SL bán theo ngày'!$A$9:$A$82,"?*"),INDEX('SL bán theo ngày'!N$9:N$82,ROWS($A$11:$A33)),"")</f>
        <v/>
      </c>
      <c r="L33" s="49" t="str">
        <f t="array" aca="1" ref="L33" ca="1">IF(ROWS($A$11:$A33)&lt;=COUNTIF('SL bán theo ngày'!$A$9:$A$82,"?*"),INDEX('SL bán theo ngày'!O$9:O$82,ROWS($A$11:$A33)),"")</f>
        <v/>
      </c>
      <c r="M33" s="49" t="str">
        <f t="array" aca="1" ref="M33" ca="1">IF(ROWS($A$11:$A33)&lt;=COUNTIF('SL bán theo ngày'!$A$9:$A$82,"?*"),INDEX('SL bán theo ngày'!P$9:P$82,ROWS($A$11:$A33)),"")</f>
        <v/>
      </c>
      <c r="N33" s="49" t="str">
        <f t="array" aca="1" ref="N33" ca="1">IF(ROWS($A$11:$A33)&lt;=COUNTIF('SL bán theo ngày'!$A$9:$A$82,"?*"),INDEX('SL bán theo ngày'!Q$9:Q$82,ROWS($A$11:$A33)),"")</f>
        <v/>
      </c>
      <c r="O33" s="49" t="str">
        <f t="array" aca="1" ref="O33" ca="1">IF(ROWS($A$11:$A33)&lt;=COUNTIF('SL bán theo ngày'!$A$9:$A$82,"?*"),INDEX('SL bán theo ngày'!R$9:R$82,ROWS($A$11:$A33)),"")</f>
        <v/>
      </c>
      <c r="P33" s="49" t="str">
        <f t="array" aca="1" ref="P33" ca="1">IF(ROWS($A$11:$A33)&lt;=COUNTIF('SL bán theo ngày'!$A$9:$A$82,"?*"),INDEX('SL bán theo ngày'!S$9:S$82,ROWS($A$11:$A33)),"")</f>
        <v/>
      </c>
      <c r="Q33" s="49" t="str">
        <f t="array" aca="1" ref="Q33" ca="1">IF(ROWS($A$11:$A33)&lt;=COUNTIF('SL bán theo ngày'!$A$9:$A$82,"?*"),INDEX('SL bán theo ngày'!T$9:T$82,ROWS($A$11:$A33)),"")</f>
        <v/>
      </c>
      <c r="R33" s="49" t="str">
        <f t="array" aca="1" ref="R33" ca="1">IF(ROWS($A$11:$A33)&lt;=COUNTIF('SL bán theo ngày'!$A$9:$A$82,"?*"),INDEX('SL bán theo ngày'!U$9:U$82,ROWS($A$11:$A33)),"")</f>
        <v/>
      </c>
      <c r="S33" s="49" t="str">
        <f t="array" aca="1" ref="S33" ca="1">IF(ROWS($A$11:$A33)&lt;=COUNTIF('SL bán theo ngày'!$A$9:$A$82,"?*"),INDEX('SL bán theo ngày'!V$9:V$82,ROWS($A$11:$A33)),"")</f>
        <v/>
      </c>
      <c r="T33" s="49" t="str">
        <f t="array" aca="1" ref="T33" ca="1">IF(ROWS($A$11:$A33)&lt;=COUNTIF('SL bán theo ngày'!$A$9:$A$82,"?*"),INDEX('SL bán theo ngày'!W$9:W$82,ROWS($A$11:$A33)),"")</f>
        <v/>
      </c>
      <c r="U33" s="49" t="str">
        <f t="array" aca="1" ref="U33" ca="1">IF(ROWS($A$11:$A33)&lt;=COUNTIF('SL bán theo ngày'!$A$9:$A$82,"?*"),INDEX('SL bán theo ngày'!X$9:X$82,ROWS($A$11:$A33)),"")</f>
        <v/>
      </c>
      <c r="V33" s="49" t="str">
        <f t="array" aca="1" ref="V33" ca="1">IF(ROWS($A$11:$A33)&lt;=COUNTIF('SL bán theo ngày'!$A$9:$A$82,"?*"),INDEX('SL bán theo ngày'!Y$9:Y$82,ROWS($A$11:$A33)),"")</f>
        <v/>
      </c>
      <c r="W33" s="49" t="str">
        <f t="array" aca="1" ref="W33" ca="1">IF(ROWS($A$11:$A33)&lt;=COUNTIF('SL bán theo ngày'!$A$9:$A$82,"?*"),INDEX('SL bán theo ngày'!Z$9:Z$82,ROWS($A$11:$A33)),"")</f>
        <v/>
      </c>
      <c r="X33" s="49" t="str">
        <f t="array" aca="1" ref="X33" ca="1">IF(ROWS($A$11:$A33)&lt;=COUNTIF('SL bán theo ngày'!$A$9:$A$82,"?*"),INDEX('SL bán theo ngày'!AA$9:AA$82,ROWS($A$11:$A33)),"")</f>
        <v/>
      </c>
      <c r="Y33" s="49" t="str">
        <f t="array" aca="1" ref="Y33" ca="1">IF(ROWS($A$11:$A33)&lt;=COUNTIF('SL bán theo ngày'!$A$9:$A$82,"?*"),INDEX('SL bán theo ngày'!AB$9:AB$82,ROWS($A$11:$A33)),"")</f>
        <v/>
      </c>
      <c r="Z33" s="49" t="str">
        <f t="array" aca="1" ref="Z33" ca="1">IF(ROWS($A$11:$A33)&lt;=COUNTIF('SL bán theo ngày'!$A$9:$A$82,"?*"),INDEX('SL bán theo ngày'!AC$9:AC$82,ROWS($A$11:$A33)),"")</f>
        <v/>
      </c>
      <c r="AA33" s="49" t="str">
        <f t="array" aca="1" ref="AA33" ca="1">IF(ROWS($A$11:$A33)&lt;=COUNTIF('SL bán theo ngày'!$A$9:$A$82,"?*"),INDEX('SL bán theo ngày'!AD$9:AD$82,ROWS($A$11:$A33)),"")</f>
        <v/>
      </c>
      <c r="AB33" s="49" t="str">
        <f t="array" aca="1" ref="AB33" ca="1">IF(ROWS($A$11:$A33)&lt;=COUNTIF('SL bán theo ngày'!$A$9:$A$82,"?*"),INDEX('SL bán theo ngày'!AE$9:AE$82,ROWS($A$11:$A33)),"")</f>
        <v/>
      </c>
      <c r="AC33" s="49" t="str">
        <f t="array" aca="1" ref="AC33" ca="1">IF(ROWS($A$11:$A33)&lt;=COUNTIF('SL bán theo ngày'!$A$9:$A$82,"?*"),INDEX('SL bán theo ngày'!AF$9:AF$82,ROWS($A$11:$A33)),"")</f>
        <v/>
      </c>
      <c r="AD33" s="49" t="str">
        <f t="array" aca="1" ref="AD33" ca="1">IF(ROWS($A$11:$A33)&lt;=COUNTIF('SL bán theo ngày'!$A$9:$A$82,"?*"),INDEX('SL bán theo ngày'!AG$9:AG$82,ROWS($A$11:$A33)),"")</f>
        <v/>
      </c>
      <c r="AE33" s="49" t="str">
        <f t="array" aca="1" ref="AE33" ca="1">IF(ROWS($A$11:$A33)&lt;=COUNTIF('SL bán theo ngày'!$A$9:$A$82,"?*"),INDEX('SL bán theo ngày'!AH$9:AH$82,ROWS($A$11:$A33)),"")</f>
        <v/>
      </c>
      <c r="AF33" s="49" t="str">
        <f t="array" aca="1" ref="AF33" ca="1">IF(ROWS($A$11:$A33)&lt;=COUNTIF('SL bán theo ngày'!$A$9:$A$82,"?*"),INDEX('SL bán theo ngày'!AI$9:AI$82,ROWS($A$11:$A33)),"")</f>
        <v/>
      </c>
      <c r="AG33" s="49" t="str">
        <f t="array" aca="1" ref="AG33" ca="1">IF(ROWS($A$11:$A33)&lt;=COUNTIF('SL bán theo ngày'!$A$9:$A$82,"?*"),INDEX('SL bán theo ngày'!C$9:C$82,ROWS($A$11:$A33)),"")</f>
        <v/>
      </c>
      <c r="AH33" s="74" t="str">
        <f t="array" aca="1" ref="AH33" ca="1">IF(ROWS($A$11:$A33)&lt;=COUNTIF('SL bán theo ngày'!$A$9:$A$82,"?*"),INDEX('SL bán theo ngày'!D$9:D$82,ROWS($A$11:$A33)),"")</f>
        <v/>
      </c>
      <c r="AI33" s="49" t="str">
        <f t="array" aca="1" ref="AI33" ca="1">IF(ROWS($A$11:$A33)&lt;=COUNTIF('SL bán theo ngày'!$A$9:$A$82,"?*"),INDEX('SL bán theo ngày'!E$9:E$82,ROWS($A$11:$A33)),"")</f>
        <v/>
      </c>
      <c r="AJ33" s="49" t="str">
        <f t="array" aca="1" ref="AJ33" ca="1">IF(ROWS($A$11:$A33)&lt;=COUNTIF('SL bán theo ngày'!$A$9:$A$82,"?*"),INDEX('SL bán theo ngày'!AJ$9:AJ$82,ROWS($A$11:$A33)),"")</f>
        <v/>
      </c>
      <c r="AK33" s="49" t="str">
        <f t="array" aca="1" ref="AK33" ca="1">IF(ROWS($A$11:$A33)&lt;=COUNTIF('SL bán theo ngày'!$A$9:$A$82,"?*"),INDEX('SL bán theo ngày'!AK$9:AK$82,ROWS($A$11:$A33)),"")</f>
        <v/>
      </c>
    </row>
    <row r="34" spans="1:37" ht="15.75" customHeight="1" x14ac:dyDescent="0.25">
      <c r="A34" s="33" t="str">
        <f t="array" aca="1" ref="A34" ca="1">IF(ROWS($A$11:$A34)&lt;=COUNTIF('SL bán theo ngày'!$A$9:$A$82,"?*"),INDEX('SL bán theo ngày'!A$9:A$82,ROWS($A$11:$A34)),"")</f>
        <v/>
      </c>
      <c r="B34" s="37" t="str">
        <f t="array" aca="1" ref="B34" ca="1">IF(ROWS($A$11:$A34)&lt;=COUNTIF('SL bán theo ngày'!$A$9:$A$82,"?*"),INDEX('SL bán theo ngày'!B$9:B$82,ROWS($A$11:$A34)),"")</f>
        <v/>
      </c>
      <c r="C34" s="79" t="str">
        <f t="array" aca="1" ref="C34" ca="1">IF(ROWS($A$11:$A34)&lt;=COUNTIF('SL bán theo ngày'!$A$9:$A$82,"?*"),INDEX('SL bán theo ngày'!F$9:F$82,ROWS($A$11:$A34)),"")</f>
        <v/>
      </c>
      <c r="D34" s="49" t="str">
        <f t="array" aca="1" ref="D34" ca="1">IF(ROWS($A$11:$A34)&lt;=COUNTIF('SL bán theo ngày'!$A$9:$A$82,"?*"),INDEX('SL bán theo ngày'!G$9:G$82,ROWS($A$11:$A34)),"")</f>
        <v/>
      </c>
      <c r="E34" s="49" t="str">
        <f t="array" aca="1" ref="E34" ca="1">IF(ROWS($A$11:$A34)&lt;=COUNTIF('SL bán theo ngày'!$A$9:$A$82,"?*"),INDEX('SL bán theo ngày'!H$9:H$82,ROWS($A$11:$A34)),"")</f>
        <v/>
      </c>
      <c r="F34" s="49" t="str">
        <f t="array" aca="1" ref="F34" ca="1">IF(ROWS($A$11:$A34)&lt;=COUNTIF('SL bán theo ngày'!$A$9:$A$82,"?*"),INDEX('SL bán theo ngày'!I$9:I$82,ROWS($A$11:$A34)),"")</f>
        <v/>
      </c>
      <c r="G34" s="49" t="str">
        <f t="array" aca="1" ref="G34" ca="1">IF(ROWS($A$11:$A34)&lt;=COUNTIF('SL bán theo ngày'!$A$9:$A$82,"?*"),INDEX('SL bán theo ngày'!J$9:J$82,ROWS($A$11:$A34)),"")</f>
        <v/>
      </c>
      <c r="H34" s="49" t="str">
        <f t="array" aca="1" ref="H34" ca="1">IF(ROWS($A$11:$A34)&lt;=COUNTIF('SL bán theo ngày'!$A$9:$A$82,"?*"),INDEX('SL bán theo ngày'!K$9:K$82,ROWS($A$11:$A34)),"")</f>
        <v/>
      </c>
      <c r="I34" s="49" t="str">
        <f t="array" aca="1" ref="I34" ca="1">IF(ROWS($A$11:$A34)&lt;=COUNTIF('SL bán theo ngày'!$A$9:$A$82,"?*"),INDEX('SL bán theo ngày'!L$9:L$82,ROWS($A$11:$A34)),"")</f>
        <v/>
      </c>
      <c r="J34" s="49" t="str">
        <f t="array" aca="1" ref="J34" ca="1">IF(ROWS($A$11:$A34)&lt;=COUNTIF('SL bán theo ngày'!$A$9:$A$82,"?*"),INDEX('SL bán theo ngày'!M$9:M$82,ROWS($A$11:$A34)),"")</f>
        <v/>
      </c>
      <c r="K34" s="49" t="str">
        <f t="array" aca="1" ref="K34" ca="1">IF(ROWS($A$11:$A34)&lt;=COUNTIF('SL bán theo ngày'!$A$9:$A$82,"?*"),INDEX('SL bán theo ngày'!N$9:N$82,ROWS($A$11:$A34)),"")</f>
        <v/>
      </c>
      <c r="L34" s="49" t="str">
        <f t="array" aca="1" ref="L34" ca="1">IF(ROWS($A$11:$A34)&lt;=COUNTIF('SL bán theo ngày'!$A$9:$A$82,"?*"),INDEX('SL bán theo ngày'!O$9:O$82,ROWS($A$11:$A34)),"")</f>
        <v/>
      </c>
      <c r="M34" s="49" t="str">
        <f t="array" aca="1" ref="M34" ca="1">IF(ROWS($A$11:$A34)&lt;=COUNTIF('SL bán theo ngày'!$A$9:$A$82,"?*"),INDEX('SL bán theo ngày'!P$9:P$82,ROWS($A$11:$A34)),"")</f>
        <v/>
      </c>
      <c r="N34" s="49" t="str">
        <f t="array" aca="1" ref="N34" ca="1">IF(ROWS($A$11:$A34)&lt;=COUNTIF('SL bán theo ngày'!$A$9:$A$82,"?*"),INDEX('SL bán theo ngày'!Q$9:Q$82,ROWS($A$11:$A34)),"")</f>
        <v/>
      </c>
      <c r="O34" s="49" t="str">
        <f t="array" aca="1" ref="O34" ca="1">IF(ROWS($A$11:$A34)&lt;=COUNTIF('SL bán theo ngày'!$A$9:$A$82,"?*"),INDEX('SL bán theo ngày'!R$9:R$82,ROWS($A$11:$A34)),"")</f>
        <v/>
      </c>
      <c r="P34" s="49" t="str">
        <f t="array" aca="1" ref="P34" ca="1">IF(ROWS($A$11:$A34)&lt;=COUNTIF('SL bán theo ngày'!$A$9:$A$82,"?*"),INDEX('SL bán theo ngày'!S$9:S$82,ROWS($A$11:$A34)),"")</f>
        <v/>
      </c>
      <c r="Q34" s="49" t="str">
        <f t="array" aca="1" ref="Q34" ca="1">IF(ROWS($A$11:$A34)&lt;=COUNTIF('SL bán theo ngày'!$A$9:$A$82,"?*"),INDEX('SL bán theo ngày'!T$9:T$82,ROWS($A$11:$A34)),"")</f>
        <v/>
      </c>
      <c r="R34" s="49" t="str">
        <f t="array" aca="1" ref="R34" ca="1">IF(ROWS($A$11:$A34)&lt;=COUNTIF('SL bán theo ngày'!$A$9:$A$82,"?*"),INDEX('SL bán theo ngày'!U$9:U$82,ROWS($A$11:$A34)),"")</f>
        <v/>
      </c>
      <c r="S34" s="49" t="str">
        <f t="array" aca="1" ref="S34" ca="1">IF(ROWS($A$11:$A34)&lt;=COUNTIF('SL bán theo ngày'!$A$9:$A$82,"?*"),INDEX('SL bán theo ngày'!V$9:V$82,ROWS($A$11:$A34)),"")</f>
        <v/>
      </c>
      <c r="T34" s="49" t="str">
        <f t="array" aca="1" ref="T34" ca="1">IF(ROWS($A$11:$A34)&lt;=COUNTIF('SL bán theo ngày'!$A$9:$A$82,"?*"),INDEX('SL bán theo ngày'!W$9:W$82,ROWS($A$11:$A34)),"")</f>
        <v/>
      </c>
      <c r="U34" s="49" t="str">
        <f t="array" aca="1" ref="U34" ca="1">IF(ROWS($A$11:$A34)&lt;=COUNTIF('SL bán theo ngày'!$A$9:$A$82,"?*"),INDEX('SL bán theo ngày'!X$9:X$82,ROWS($A$11:$A34)),"")</f>
        <v/>
      </c>
      <c r="V34" s="49" t="str">
        <f t="array" aca="1" ref="V34" ca="1">IF(ROWS($A$11:$A34)&lt;=COUNTIF('SL bán theo ngày'!$A$9:$A$82,"?*"),INDEX('SL bán theo ngày'!Y$9:Y$82,ROWS($A$11:$A34)),"")</f>
        <v/>
      </c>
      <c r="W34" s="49" t="str">
        <f t="array" aca="1" ref="W34" ca="1">IF(ROWS($A$11:$A34)&lt;=COUNTIF('SL bán theo ngày'!$A$9:$A$82,"?*"),INDEX('SL bán theo ngày'!Z$9:Z$82,ROWS($A$11:$A34)),"")</f>
        <v/>
      </c>
      <c r="X34" s="49" t="str">
        <f t="array" aca="1" ref="X34" ca="1">IF(ROWS($A$11:$A34)&lt;=COUNTIF('SL bán theo ngày'!$A$9:$A$82,"?*"),INDEX('SL bán theo ngày'!AA$9:AA$82,ROWS($A$11:$A34)),"")</f>
        <v/>
      </c>
      <c r="Y34" s="49" t="str">
        <f t="array" aca="1" ref="Y34" ca="1">IF(ROWS($A$11:$A34)&lt;=COUNTIF('SL bán theo ngày'!$A$9:$A$82,"?*"),INDEX('SL bán theo ngày'!AB$9:AB$82,ROWS($A$11:$A34)),"")</f>
        <v/>
      </c>
      <c r="Z34" s="49" t="str">
        <f t="array" aca="1" ref="Z34" ca="1">IF(ROWS($A$11:$A34)&lt;=COUNTIF('SL bán theo ngày'!$A$9:$A$82,"?*"),INDEX('SL bán theo ngày'!AC$9:AC$82,ROWS($A$11:$A34)),"")</f>
        <v/>
      </c>
      <c r="AA34" s="49" t="str">
        <f t="array" aca="1" ref="AA34" ca="1">IF(ROWS($A$11:$A34)&lt;=COUNTIF('SL bán theo ngày'!$A$9:$A$82,"?*"),INDEX('SL bán theo ngày'!AD$9:AD$82,ROWS($A$11:$A34)),"")</f>
        <v/>
      </c>
      <c r="AB34" s="49" t="str">
        <f t="array" aca="1" ref="AB34" ca="1">IF(ROWS($A$11:$A34)&lt;=COUNTIF('SL bán theo ngày'!$A$9:$A$82,"?*"),INDEX('SL bán theo ngày'!AE$9:AE$82,ROWS($A$11:$A34)),"")</f>
        <v/>
      </c>
      <c r="AC34" s="49" t="str">
        <f t="array" aca="1" ref="AC34" ca="1">IF(ROWS($A$11:$A34)&lt;=COUNTIF('SL bán theo ngày'!$A$9:$A$82,"?*"),INDEX('SL bán theo ngày'!AF$9:AF$82,ROWS($A$11:$A34)),"")</f>
        <v/>
      </c>
      <c r="AD34" s="49" t="str">
        <f t="array" aca="1" ref="AD34" ca="1">IF(ROWS($A$11:$A34)&lt;=COUNTIF('SL bán theo ngày'!$A$9:$A$82,"?*"),INDEX('SL bán theo ngày'!AG$9:AG$82,ROWS($A$11:$A34)),"")</f>
        <v/>
      </c>
      <c r="AE34" s="49" t="str">
        <f t="array" aca="1" ref="AE34" ca="1">IF(ROWS($A$11:$A34)&lt;=COUNTIF('SL bán theo ngày'!$A$9:$A$82,"?*"),INDEX('SL bán theo ngày'!AH$9:AH$82,ROWS($A$11:$A34)),"")</f>
        <v/>
      </c>
      <c r="AF34" s="49" t="str">
        <f t="array" aca="1" ref="AF34" ca="1">IF(ROWS($A$11:$A34)&lt;=COUNTIF('SL bán theo ngày'!$A$9:$A$82,"?*"),INDEX('SL bán theo ngày'!AI$9:AI$82,ROWS($A$11:$A34)),"")</f>
        <v/>
      </c>
      <c r="AG34" s="49" t="str">
        <f t="array" aca="1" ref="AG34" ca="1">IF(ROWS($A$11:$A34)&lt;=COUNTIF('SL bán theo ngày'!$A$9:$A$82,"?*"),INDEX('SL bán theo ngày'!C$9:C$82,ROWS($A$11:$A34)),"")</f>
        <v/>
      </c>
      <c r="AH34" s="74" t="str">
        <f t="array" aca="1" ref="AH34" ca="1">IF(ROWS($A$11:$A34)&lt;=COUNTIF('SL bán theo ngày'!$A$9:$A$82,"?*"),INDEX('SL bán theo ngày'!D$9:D$82,ROWS($A$11:$A34)),"")</f>
        <v/>
      </c>
      <c r="AI34" s="49" t="str">
        <f t="array" aca="1" ref="AI34" ca="1">IF(ROWS($A$11:$A34)&lt;=COUNTIF('SL bán theo ngày'!$A$9:$A$82,"?*"),INDEX('SL bán theo ngày'!E$9:E$82,ROWS($A$11:$A34)),"")</f>
        <v/>
      </c>
      <c r="AJ34" s="49" t="str">
        <f t="array" aca="1" ref="AJ34" ca="1">IF(ROWS($A$11:$A34)&lt;=COUNTIF('SL bán theo ngày'!$A$9:$A$82,"?*"),INDEX('SL bán theo ngày'!AJ$9:AJ$82,ROWS($A$11:$A34)),"")</f>
        <v/>
      </c>
      <c r="AK34" s="49" t="str">
        <f t="array" aca="1" ref="AK34" ca="1">IF(ROWS($A$11:$A34)&lt;=COUNTIF('SL bán theo ngày'!$A$9:$A$82,"?*"),INDEX('SL bán theo ngày'!AK$9:AK$82,ROWS($A$11:$A34)),"")</f>
        <v/>
      </c>
    </row>
    <row r="35" spans="1:37" ht="15.75" customHeight="1" x14ac:dyDescent="0.25">
      <c r="A35" s="33" t="str">
        <f t="array" aca="1" ref="A35" ca="1">IF(ROWS($A$11:$A35)&lt;=COUNTIF('SL bán theo ngày'!$A$9:$A$82,"?*"),INDEX('SL bán theo ngày'!A$9:A$82,ROWS($A$11:$A35)),"")</f>
        <v/>
      </c>
      <c r="B35" s="37" t="str">
        <f t="array" aca="1" ref="B35" ca="1">IF(ROWS($A$11:$A35)&lt;=COUNTIF('SL bán theo ngày'!$A$9:$A$82,"?*"),INDEX('SL bán theo ngày'!B$9:B$82,ROWS($A$11:$A35)),"")</f>
        <v/>
      </c>
      <c r="C35" s="79" t="str">
        <f t="array" aca="1" ref="C35" ca="1">IF(ROWS($A$11:$A35)&lt;=COUNTIF('SL bán theo ngày'!$A$9:$A$82,"?*"),INDEX('SL bán theo ngày'!F$9:F$82,ROWS($A$11:$A35)),"")</f>
        <v/>
      </c>
      <c r="D35" s="49" t="str">
        <f t="array" aca="1" ref="D35" ca="1">IF(ROWS($A$11:$A35)&lt;=COUNTIF('SL bán theo ngày'!$A$9:$A$82,"?*"),INDEX('SL bán theo ngày'!G$9:G$82,ROWS($A$11:$A35)),"")</f>
        <v/>
      </c>
      <c r="E35" s="49" t="str">
        <f t="array" aca="1" ref="E35" ca="1">IF(ROWS($A$11:$A35)&lt;=COUNTIF('SL bán theo ngày'!$A$9:$A$82,"?*"),INDEX('SL bán theo ngày'!H$9:H$82,ROWS($A$11:$A35)),"")</f>
        <v/>
      </c>
      <c r="F35" s="49" t="str">
        <f t="array" aca="1" ref="F35" ca="1">IF(ROWS($A$11:$A35)&lt;=COUNTIF('SL bán theo ngày'!$A$9:$A$82,"?*"),INDEX('SL bán theo ngày'!I$9:I$82,ROWS($A$11:$A35)),"")</f>
        <v/>
      </c>
      <c r="G35" s="49" t="str">
        <f t="array" aca="1" ref="G35" ca="1">IF(ROWS($A$11:$A35)&lt;=COUNTIF('SL bán theo ngày'!$A$9:$A$82,"?*"),INDEX('SL bán theo ngày'!J$9:J$82,ROWS($A$11:$A35)),"")</f>
        <v/>
      </c>
      <c r="H35" s="49" t="str">
        <f t="array" aca="1" ref="H35" ca="1">IF(ROWS($A$11:$A35)&lt;=COUNTIF('SL bán theo ngày'!$A$9:$A$82,"?*"),INDEX('SL bán theo ngày'!K$9:K$82,ROWS($A$11:$A35)),"")</f>
        <v/>
      </c>
      <c r="I35" s="49" t="str">
        <f t="array" aca="1" ref="I35" ca="1">IF(ROWS($A$11:$A35)&lt;=COUNTIF('SL bán theo ngày'!$A$9:$A$82,"?*"),INDEX('SL bán theo ngày'!L$9:L$82,ROWS($A$11:$A35)),"")</f>
        <v/>
      </c>
      <c r="J35" s="49" t="str">
        <f t="array" aca="1" ref="J35" ca="1">IF(ROWS($A$11:$A35)&lt;=COUNTIF('SL bán theo ngày'!$A$9:$A$82,"?*"),INDEX('SL bán theo ngày'!M$9:M$82,ROWS($A$11:$A35)),"")</f>
        <v/>
      </c>
      <c r="K35" s="49" t="str">
        <f t="array" aca="1" ref="K35" ca="1">IF(ROWS($A$11:$A35)&lt;=COUNTIF('SL bán theo ngày'!$A$9:$A$82,"?*"),INDEX('SL bán theo ngày'!N$9:N$82,ROWS($A$11:$A35)),"")</f>
        <v/>
      </c>
      <c r="L35" s="49" t="str">
        <f t="array" aca="1" ref="L35" ca="1">IF(ROWS($A$11:$A35)&lt;=COUNTIF('SL bán theo ngày'!$A$9:$A$82,"?*"),INDEX('SL bán theo ngày'!O$9:O$82,ROWS($A$11:$A35)),"")</f>
        <v/>
      </c>
      <c r="M35" s="49" t="str">
        <f t="array" aca="1" ref="M35" ca="1">IF(ROWS($A$11:$A35)&lt;=COUNTIF('SL bán theo ngày'!$A$9:$A$82,"?*"),INDEX('SL bán theo ngày'!P$9:P$82,ROWS($A$11:$A35)),"")</f>
        <v/>
      </c>
      <c r="N35" s="49" t="str">
        <f t="array" aca="1" ref="N35" ca="1">IF(ROWS($A$11:$A35)&lt;=COUNTIF('SL bán theo ngày'!$A$9:$A$82,"?*"),INDEX('SL bán theo ngày'!Q$9:Q$82,ROWS($A$11:$A35)),"")</f>
        <v/>
      </c>
      <c r="O35" s="49" t="str">
        <f t="array" aca="1" ref="O35" ca="1">IF(ROWS($A$11:$A35)&lt;=COUNTIF('SL bán theo ngày'!$A$9:$A$82,"?*"),INDEX('SL bán theo ngày'!R$9:R$82,ROWS($A$11:$A35)),"")</f>
        <v/>
      </c>
      <c r="P35" s="49" t="str">
        <f t="array" aca="1" ref="P35" ca="1">IF(ROWS($A$11:$A35)&lt;=COUNTIF('SL bán theo ngày'!$A$9:$A$82,"?*"),INDEX('SL bán theo ngày'!S$9:S$82,ROWS($A$11:$A35)),"")</f>
        <v/>
      </c>
      <c r="Q35" s="49" t="str">
        <f t="array" aca="1" ref="Q35" ca="1">IF(ROWS($A$11:$A35)&lt;=COUNTIF('SL bán theo ngày'!$A$9:$A$82,"?*"),INDEX('SL bán theo ngày'!T$9:T$82,ROWS($A$11:$A35)),"")</f>
        <v/>
      </c>
      <c r="R35" s="49" t="str">
        <f t="array" aca="1" ref="R35" ca="1">IF(ROWS($A$11:$A35)&lt;=COUNTIF('SL bán theo ngày'!$A$9:$A$82,"?*"),INDEX('SL bán theo ngày'!U$9:U$82,ROWS($A$11:$A35)),"")</f>
        <v/>
      </c>
      <c r="S35" s="49" t="str">
        <f t="array" aca="1" ref="S35" ca="1">IF(ROWS($A$11:$A35)&lt;=COUNTIF('SL bán theo ngày'!$A$9:$A$82,"?*"),INDEX('SL bán theo ngày'!V$9:V$82,ROWS($A$11:$A35)),"")</f>
        <v/>
      </c>
      <c r="T35" s="49" t="str">
        <f t="array" aca="1" ref="T35" ca="1">IF(ROWS($A$11:$A35)&lt;=COUNTIF('SL bán theo ngày'!$A$9:$A$82,"?*"),INDEX('SL bán theo ngày'!W$9:W$82,ROWS($A$11:$A35)),"")</f>
        <v/>
      </c>
      <c r="U35" s="49" t="str">
        <f t="array" aca="1" ref="U35" ca="1">IF(ROWS($A$11:$A35)&lt;=COUNTIF('SL bán theo ngày'!$A$9:$A$82,"?*"),INDEX('SL bán theo ngày'!X$9:X$82,ROWS($A$11:$A35)),"")</f>
        <v/>
      </c>
      <c r="V35" s="49" t="str">
        <f t="array" aca="1" ref="V35" ca="1">IF(ROWS($A$11:$A35)&lt;=COUNTIF('SL bán theo ngày'!$A$9:$A$82,"?*"),INDEX('SL bán theo ngày'!Y$9:Y$82,ROWS($A$11:$A35)),"")</f>
        <v/>
      </c>
      <c r="W35" s="49" t="str">
        <f t="array" aca="1" ref="W35" ca="1">IF(ROWS($A$11:$A35)&lt;=COUNTIF('SL bán theo ngày'!$A$9:$A$82,"?*"),INDEX('SL bán theo ngày'!Z$9:Z$82,ROWS($A$11:$A35)),"")</f>
        <v/>
      </c>
      <c r="X35" s="49" t="str">
        <f t="array" aca="1" ref="X35" ca="1">IF(ROWS($A$11:$A35)&lt;=COUNTIF('SL bán theo ngày'!$A$9:$A$82,"?*"),INDEX('SL bán theo ngày'!AA$9:AA$82,ROWS($A$11:$A35)),"")</f>
        <v/>
      </c>
      <c r="Y35" s="49" t="str">
        <f t="array" aca="1" ref="Y35" ca="1">IF(ROWS($A$11:$A35)&lt;=COUNTIF('SL bán theo ngày'!$A$9:$A$82,"?*"),INDEX('SL bán theo ngày'!AB$9:AB$82,ROWS($A$11:$A35)),"")</f>
        <v/>
      </c>
      <c r="Z35" s="49" t="str">
        <f t="array" aca="1" ref="Z35" ca="1">IF(ROWS($A$11:$A35)&lt;=COUNTIF('SL bán theo ngày'!$A$9:$A$82,"?*"),INDEX('SL bán theo ngày'!AC$9:AC$82,ROWS($A$11:$A35)),"")</f>
        <v/>
      </c>
      <c r="AA35" s="49" t="str">
        <f t="array" aca="1" ref="AA35" ca="1">IF(ROWS($A$11:$A35)&lt;=COUNTIF('SL bán theo ngày'!$A$9:$A$82,"?*"),INDEX('SL bán theo ngày'!AD$9:AD$82,ROWS($A$11:$A35)),"")</f>
        <v/>
      </c>
      <c r="AB35" s="49" t="str">
        <f t="array" aca="1" ref="AB35" ca="1">IF(ROWS($A$11:$A35)&lt;=COUNTIF('SL bán theo ngày'!$A$9:$A$82,"?*"),INDEX('SL bán theo ngày'!AE$9:AE$82,ROWS($A$11:$A35)),"")</f>
        <v/>
      </c>
      <c r="AC35" s="49" t="str">
        <f t="array" aca="1" ref="AC35" ca="1">IF(ROWS($A$11:$A35)&lt;=COUNTIF('SL bán theo ngày'!$A$9:$A$82,"?*"),INDEX('SL bán theo ngày'!AF$9:AF$82,ROWS($A$11:$A35)),"")</f>
        <v/>
      </c>
      <c r="AD35" s="49" t="str">
        <f t="array" aca="1" ref="AD35" ca="1">IF(ROWS($A$11:$A35)&lt;=COUNTIF('SL bán theo ngày'!$A$9:$A$82,"?*"),INDEX('SL bán theo ngày'!AG$9:AG$82,ROWS($A$11:$A35)),"")</f>
        <v/>
      </c>
      <c r="AE35" s="49" t="str">
        <f t="array" aca="1" ref="AE35" ca="1">IF(ROWS($A$11:$A35)&lt;=COUNTIF('SL bán theo ngày'!$A$9:$A$82,"?*"),INDEX('SL bán theo ngày'!AH$9:AH$82,ROWS($A$11:$A35)),"")</f>
        <v/>
      </c>
      <c r="AF35" s="49" t="str">
        <f t="array" aca="1" ref="AF35" ca="1">IF(ROWS($A$11:$A35)&lt;=COUNTIF('SL bán theo ngày'!$A$9:$A$82,"?*"),INDEX('SL bán theo ngày'!AI$9:AI$82,ROWS($A$11:$A35)),"")</f>
        <v/>
      </c>
      <c r="AG35" s="49" t="str">
        <f t="array" aca="1" ref="AG35" ca="1">IF(ROWS($A$11:$A35)&lt;=COUNTIF('SL bán theo ngày'!$A$9:$A$82,"?*"),INDEX('SL bán theo ngày'!C$9:C$82,ROWS($A$11:$A35)),"")</f>
        <v/>
      </c>
      <c r="AH35" s="74" t="str">
        <f t="array" aca="1" ref="AH35" ca="1">IF(ROWS($A$11:$A35)&lt;=COUNTIF('SL bán theo ngày'!$A$9:$A$82,"?*"),INDEX('SL bán theo ngày'!D$9:D$82,ROWS($A$11:$A35)),"")</f>
        <v/>
      </c>
      <c r="AI35" s="49" t="str">
        <f t="array" aca="1" ref="AI35" ca="1">IF(ROWS($A$11:$A35)&lt;=COUNTIF('SL bán theo ngày'!$A$9:$A$82,"?*"),INDEX('SL bán theo ngày'!E$9:E$82,ROWS($A$11:$A35)),"")</f>
        <v/>
      </c>
      <c r="AJ35" s="49" t="str">
        <f t="array" aca="1" ref="AJ35" ca="1">IF(ROWS($A$11:$A35)&lt;=COUNTIF('SL bán theo ngày'!$A$9:$A$82,"?*"),INDEX('SL bán theo ngày'!AJ$9:AJ$82,ROWS($A$11:$A35)),"")</f>
        <v/>
      </c>
      <c r="AK35" s="49" t="str">
        <f t="array" aca="1" ref="AK35" ca="1">IF(ROWS($A$11:$A35)&lt;=COUNTIF('SL bán theo ngày'!$A$9:$A$82,"?*"),INDEX('SL bán theo ngày'!AK$9:AK$82,ROWS($A$11:$A35)),"")</f>
        <v/>
      </c>
    </row>
    <row r="36" spans="1:37" ht="15.75" customHeight="1" x14ac:dyDescent="0.25">
      <c r="A36" s="33" t="str">
        <f t="array" aca="1" ref="A36" ca="1">IF(ROWS($A$11:$A36)&lt;=COUNTIF('SL bán theo ngày'!$A$9:$A$82,"?*"),INDEX('SL bán theo ngày'!A$9:A$82,ROWS($A$11:$A36)),"")</f>
        <v/>
      </c>
      <c r="B36" s="37" t="str">
        <f t="array" aca="1" ref="B36" ca="1">IF(ROWS($A$11:$A36)&lt;=COUNTIF('SL bán theo ngày'!$A$9:$A$82,"?*"),INDEX('SL bán theo ngày'!B$9:B$82,ROWS($A$11:$A36)),"")</f>
        <v/>
      </c>
      <c r="C36" s="79" t="str">
        <f t="array" aca="1" ref="C36" ca="1">IF(ROWS($A$11:$A36)&lt;=COUNTIF('SL bán theo ngày'!$A$9:$A$82,"?*"),INDEX('SL bán theo ngày'!F$9:F$82,ROWS($A$11:$A36)),"")</f>
        <v/>
      </c>
      <c r="D36" s="49" t="str">
        <f t="array" aca="1" ref="D36" ca="1">IF(ROWS($A$11:$A36)&lt;=COUNTIF('SL bán theo ngày'!$A$9:$A$82,"?*"),INDEX('SL bán theo ngày'!G$9:G$82,ROWS($A$11:$A36)),"")</f>
        <v/>
      </c>
      <c r="E36" s="49" t="str">
        <f t="array" aca="1" ref="E36" ca="1">IF(ROWS($A$11:$A36)&lt;=COUNTIF('SL bán theo ngày'!$A$9:$A$82,"?*"),INDEX('SL bán theo ngày'!H$9:H$82,ROWS($A$11:$A36)),"")</f>
        <v/>
      </c>
      <c r="F36" s="49" t="str">
        <f t="array" aca="1" ref="F36" ca="1">IF(ROWS($A$11:$A36)&lt;=COUNTIF('SL bán theo ngày'!$A$9:$A$82,"?*"),INDEX('SL bán theo ngày'!I$9:I$82,ROWS($A$11:$A36)),"")</f>
        <v/>
      </c>
      <c r="G36" s="49" t="str">
        <f t="array" aca="1" ref="G36" ca="1">IF(ROWS($A$11:$A36)&lt;=COUNTIF('SL bán theo ngày'!$A$9:$A$82,"?*"),INDEX('SL bán theo ngày'!J$9:J$82,ROWS($A$11:$A36)),"")</f>
        <v/>
      </c>
      <c r="H36" s="49" t="str">
        <f t="array" aca="1" ref="H36" ca="1">IF(ROWS($A$11:$A36)&lt;=COUNTIF('SL bán theo ngày'!$A$9:$A$82,"?*"),INDEX('SL bán theo ngày'!K$9:K$82,ROWS($A$11:$A36)),"")</f>
        <v/>
      </c>
      <c r="I36" s="49" t="str">
        <f t="array" aca="1" ref="I36" ca="1">IF(ROWS($A$11:$A36)&lt;=COUNTIF('SL bán theo ngày'!$A$9:$A$82,"?*"),INDEX('SL bán theo ngày'!L$9:L$82,ROWS($A$11:$A36)),"")</f>
        <v/>
      </c>
      <c r="J36" s="49" t="str">
        <f t="array" aca="1" ref="J36" ca="1">IF(ROWS($A$11:$A36)&lt;=COUNTIF('SL bán theo ngày'!$A$9:$A$82,"?*"),INDEX('SL bán theo ngày'!M$9:M$82,ROWS($A$11:$A36)),"")</f>
        <v/>
      </c>
      <c r="K36" s="49" t="str">
        <f t="array" aca="1" ref="K36" ca="1">IF(ROWS($A$11:$A36)&lt;=COUNTIF('SL bán theo ngày'!$A$9:$A$82,"?*"),INDEX('SL bán theo ngày'!N$9:N$82,ROWS($A$11:$A36)),"")</f>
        <v/>
      </c>
      <c r="L36" s="49" t="str">
        <f t="array" aca="1" ref="L36" ca="1">IF(ROWS($A$11:$A36)&lt;=COUNTIF('SL bán theo ngày'!$A$9:$A$82,"?*"),INDEX('SL bán theo ngày'!O$9:O$82,ROWS($A$11:$A36)),"")</f>
        <v/>
      </c>
      <c r="M36" s="49" t="str">
        <f t="array" aca="1" ref="M36" ca="1">IF(ROWS($A$11:$A36)&lt;=COUNTIF('SL bán theo ngày'!$A$9:$A$82,"?*"),INDEX('SL bán theo ngày'!P$9:P$82,ROWS($A$11:$A36)),"")</f>
        <v/>
      </c>
      <c r="N36" s="49" t="str">
        <f t="array" aca="1" ref="N36" ca="1">IF(ROWS($A$11:$A36)&lt;=COUNTIF('SL bán theo ngày'!$A$9:$A$82,"?*"),INDEX('SL bán theo ngày'!Q$9:Q$82,ROWS($A$11:$A36)),"")</f>
        <v/>
      </c>
      <c r="O36" s="49" t="str">
        <f t="array" aca="1" ref="O36" ca="1">IF(ROWS($A$11:$A36)&lt;=COUNTIF('SL bán theo ngày'!$A$9:$A$82,"?*"),INDEX('SL bán theo ngày'!R$9:R$82,ROWS($A$11:$A36)),"")</f>
        <v/>
      </c>
      <c r="P36" s="49" t="str">
        <f t="array" aca="1" ref="P36" ca="1">IF(ROWS($A$11:$A36)&lt;=COUNTIF('SL bán theo ngày'!$A$9:$A$82,"?*"),INDEX('SL bán theo ngày'!S$9:S$82,ROWS($A$11:$A36)),"")</f>
        <v/>
      </c>
      <c r="Q36" s="49" t="str">
        <f t="array" aca="1" ref="Q36" ca="1">IF(ROWS($A$11:$A36)&lt;=COUNTIF('SL bán theo ngày'!$A$9:$A$82,"?*"),INDEX('SL bán theo ngày'!T$9:T$82,ROWS($A$11:$A36)),"")</f>
        <v/>
      </c>
      <c r="R36" s="49" t="str">
        <f t="array" aca="1" ref="R36" ca="1">IF(ROWS($A$11:$A36)&lt;=COUNTIF('SL bán theo ngày'!$A$9:$A$82,"?*"),INDEX('SL bán theo ngày'!U$9:U$82,ROWS($A$11:$A36)),"")</f>
        <v/>
      </c>
      <c r="S36" s="49" t="str">
        <f t="array" aca="1" ref="S36" ca="1">IF(ROWS($A$11:$A36)&lt;=COUNTIF('SL bán theo ngày'!$A$9:$A$82,"?*"),INDEX('SL bán theo ngày'!V$9:V$82,ROWS($A$11:$A36)),"")</f>
        <v/>
      </c>
      <c r="T36" s="49" t="str">
        <f t="array" aca="1" ref="T36" ca="1">IF(ROWS($A$11:$A36)&lt;=COUNTIF('SL bán theo ngày'!$A$9:$A$82,"?*"),INDEX('SL bán theo ngày'!W$9:W$82,ROWS($A$11:$A36)),"")</f>
        <v/>
      </c>
      <c r="U36" s="49" t="str">
        <f t="array" aca="1" ref="U36" ca="1">IF(ROWS($A$11:$A36)&lt;=COUNTIF('SL bán theo ngày'!$A$9:$A$82,"?*"),INDEX('SL bán theo ngày'!X$9:X$82,ROWS($A$11:$A36)),"")</f>
        <v/>
      </c>
      <c r="V36" s="49" t="str">
        <f t="array" aca="1" ref="V36" ca="1">IF(ROWS($A$11:$A36)&lt;=COUNTIF('SL bán theo ngày'!$A$9:$A$82,"?*"),INDEX('SL bán theo ngày'!Y$9:Y$82,ROWS($A$11:$A36)),"")</f>
        <v/>
      </c>
      <c r="W36" s="49" t="str">
        <f t="array" aca="1" ref="W36" ca="1">IF(ROWS($A$11:$A36)&lt;=COUNTIF('SL bán theo ngày'!$A$9:$A$82,"?*"),INDEX('SL bán theo ngày'!Z$9:Z$82,ROWS($A$11:$A36)),"")</f>
        <v/>
      </c>
      <c r="X36" s="49" t="str">
        <f t="array" aca="1" ref="X36" ca="1">IF(ROWS($A$11:$A36)&lt;=COUNTIF('SL bán theo ngày'!$A$9:$A$82,"?*"),INDEX('SL bán theo ngày'!AA$9:AA$82,ROWS($A$11:$A36)),"")</f>
        <v/>
      </c>
      <c r="Y36" s="49" t="str">
        <f t="array" aca="1" ref="Y36" ca="1">IF(ROWS($A$11:$A36)&lt;=COUNTIF('SL bán theo ngày'!$A$9:$A$82,"?*"),INDEX('SL bán theo ngày'!AB$9:AB$82,ROWS($A$11:$A36)),"")</f>
        <v/>
      </c>
      <c r="Z36" s="49" t="str">
        <f t="array" aca="1" ref="Z36" ca="1">IF(ROWS($A$11:$A36)&lt;=COUNTIF('SL bán theo ngày'!$A$9:$A$82,"?*"),INDEX('SL bán theo ngày'!AC$9:AC$82,ROWS($A$11:$A36)),"")</f>
        <v/>
      </c>
      <c r="AA36" s="49" t="str">
        <f t="array" aca="1" ref="AA36" ca="1">IF(ROWS($A$11:$A36)&lt;=COUNTIF('SL bán theo ngày'!$A$9:$A$82,"?*"),INDEX('SL bán theo ngày'!AD$9:AD$82,ROWS($A$11:$A36)),"")</f>
        <v/>
      </c>
      <c r="AB36" s="49" t="str">
        <f t="array" aca="1" ref="AB36" ca="1">IF(ROWS($A$11:$A36)&lt;=COUNTIF('SL bán theo ngày'!$A$9:$A$82,"?*"),INDEX('SL bán theo ngày'!AE$9:AE$82,ROWS($A$11:$A36)),"")</f>
        <v/>
      </c>
      <c r="AC36" s="49" t="str">
        <f t="array" aca="1" ref="AC36" ca="1">IF(ROWS($A$11:$A36)&lt;=COUNTIF('SL bán theo ngày'!$A$9:$A$82,"?*"),INDEX('SL bán theo ngày'!AF$9:AF$82,ROWS($A$11:$A36)),"")</f>
        <v/>
      </c>
      <c r="AD36" s="49" t="str">
        <f t="array" aca="1" ref="AD36" ca="1">IF(ROWS($A$11:$A36)&lt;=COUNTIF('SL bán theo ngày'!$A$9:$A$82,"?*"),INDEX('SL bán theo ngày'!AG$9:AG$82,ROWS($A$11:$A36)),"")</f>
        <v/>
      </c>
      <c r="AE36" s="49" t="str">
        <f t="array" aca="1" ref="AE36" ca="1">IF(ROWS($A$11:$A36)&lt;=COUNTIF('SL bán theo ngày'!$A$9:$A$82,"?*"),INDEX('SL bán theo ngày'!AH$9:AH$82,ROWS($A$11:$A36)),"")</f>
        <v/>
      </c>
      <c r="AF36" s="49" t="str">
        <f t="array" aca="1" ref="AF36" ca="1">IF(ROWS($A$11:$A36)&lt;=COUNTIF('SL bán theo ngày'!$A$9:$A$82,"?*"),INDEX('SL bán theo ngày'!AI$9:AI$82,ROWS($A$11:$A36)),"")</f>
        <v/>
      </c>
      <c r="AG36" s="49" t="str">
        <f t="array" aca="1" ref="AG36" ca="1">IF(ROWS($A$11:$A36)&lt;=COUNTIF('SL bán theo ngày'!$A$9:$A$82,"?*"),INDEX('SL bán theo ngày'!C$9:C$82,ROWS($A$11:$A36)),"")</f>
        <v/>
      </c>
      <c r="AH36" s="74" t="str">
        <f t="array" aca="1" ref="AH36" ca="1">IF(ROWS($A$11:$A36)&lt;=COUNTIF('SL bán theo ngày'!$A$9:$A$82,"?*"),INDEX('SL bán theo ngày'!D$9:D$82,ROWS($A$11:$A36)),"")</f>
        <v/>
      </c>
      <c r="AI36" s="49" t="str">
        <f t="array" aca="1" ref="AI36" ca="1">IF(ROWS($A$11:$A36)&lt;=COUNTIF('SL bán theo ngày'!$A$9:$A$82,"?*"),INDEX('SL bán theo ngày'!E$9:E$82,ROWS($A$11:$A36)),"")</f>
        <v/>
      </c>
      <c r="AJ36" s="49" t="str">
        <f t="array" aca="1" ref="AJ36" ca="1">IF(ROWS($A$11:$A36)&lt;=COUNTIF('SL bán theo ngày'!$A$9:$A$82,"?*"),INDEX('SL bán theo ngày'!AJ$9:AJ$82,ROWS($A$11:$A36)),"")</f>
        <v/>
      </c>
      <c r="AK36" s="49" t="str">
        <f t="array" aca="1" ref="AK36" ca="1">IF(ROWS($A$11:$A36)&lt;=COUNTIF('SL bán theo ngày'!$A$9:$A$82,"?*"),INDEX('SL bán theo ngày'!AK$9:AK$82,ROWS($A$11:$A36)),"")</f>
        <v/>
      </c>
    </row>
    <row r="37" spans="1:37" ht="15.75" customHeight="1" x14ac:dyDescent="0.25">
      <c r="A37" s="33" t="str">
        <f t="array" aca="1" ref="A37" ca="1">IF(ROWS($A$11:$A37)&lt;=COUNTIF('SL bán theo ngày'!$A$9:$A$82,"?*"),INDEX('SL bán theo ngày'!A$9:A$82,ROWS($A$11:$A37)),"")</f>
        <v/>
      </c>
      <c r="B37" s="37" t="str">
        <f t="array" aca="1" ref="B37" ca="1">IF(ROWS($A$11:$A37)&lt;=COUNTIF('SL bán theo ngày'!$A$9:$A$82,"?*"),INDEX('SL bán theo ngày'!B$9:B$82,ROWS($A$11:$A37)),"")</f>
        <v/>
      </c>
      <c r="C37" s="79" t="str">
        <f t="array" aca="1" ref="C37" ca="1">IF(ROWS($A$11:$A37)&lt;=COUNTIF('SL bán theo ngày'!$A$9:$A$82,"?*"),INDEX('SL bán theo ngày'!F$9:F$82,ROWS($A$11:$A37)),"")</f>
        <v/>
      </c>
      <c r="D37" s="49" t="str">
        <f t="array" aca="1" ref="D37" ca="1">IF(ROWS($A$11:$A37)&lt;=COUNTIF('SL bán theo ngày'!$A$9:$A$82,"?*"),INDEX('SL bán theo ngày'!G$9:G$82,ROWS($A$11:$A37)),"")</f>
        <v/>
      </c>
      <c r="E37" s="49" t="str">
        <f t="array" aca="1" ref="E37" ca="1">IF(ROWS($A$11:$A37)&lt;=COUNTIF('SL bán theo ngày'!$A$9:$A$82,"?*"),INDEX('SL bán theo ngày'!H$9:H$82,ROWS($A$11:$A37)),"")</f>
        <v/>
      </c>
      <c r="F37" s="49" t="str">
        <f t="array" aca="1" ref="F37" ca="1">IF(ROWS($A$11:$A37)&lt;=COUNTIF('SL bán theo ngày'!$A$9:$A$82,"?*"),INDEX('SL bán theo ngày'!I$9:I$82,ROWS($A$11:$A37)),"")</f>
        <v/>
      </c>
      <c r="G37" s="49" t="str">
        <f t="array" aca="1" ref="G37" ca="1">IF(ROWS($A$11:$A37)&lt;=COUNTIF('SL bán theo ngày'!$A$9:$A$82,"?*"),INDEX('SL bán theo ngày'!J$9:J$82,ROWS($A$11:$A37)),"")</f>
        <v/>
      </c>
      <c r="H37" s="49" t="str">
        <f t="array" aca="1" ref="H37" ca="1">IF(ROWS($A$11:$A37)&lt;=COUNTIF('SL bán theo ngày'!$A$9:$A$82,"?*"),INDEX('SL bán theo ngày'!K$9:K$82,ROWS($A$11:$A37)),"")</f>
        <v/>
      </c>
      <c r="I37" s="49" t="str">
        <f t="array" aca="1" ref="I37" ca="1">IF(ROWS($A$11:$A37)&lt;=COUNTIF('SL bán theo ngày'!$A$9:$A$82,"?*"),INDEX('SL bán theo ngày'!L$9:L$82,ROWS($A$11:$A37)),"")</f>
        <v/>
      </c>
      <c r="J37" s="49" t="str">
        <f t="array" aca="1" ref="J37" ca="1">IF(ROWS($A$11:$A37)&lt;=COUNTIF('SL bán theo ngày'!$A$9:$A$82,"?*"),INDEX('SL bán theo ngày'!M$9:M$82,ROWS($A$11:$A37)),"")</f>
        <v/>
      </c>
      <c r="K37" s="49" t="str">
        <f t="array" aca="1" ref="K37" ca="1">IF(ROWS($A$11:$A37)&lt;=COUNTIF('SL bán theo ngày'!$A$9:$A$82,"?*"),INDEX('SL bán theo ngày'!N$9:N$82,ROWS($A$11:$A37)),"")</f>
        <v/>
      </c>
      <c r="L37" s="49" t="str">
        <f t="array" aca="1" ref="L37" ca="1">IF(ROWS($A$11:$A37)&lt;=COUNTIF('SL bán theo ngày'!$A$9:$A$82,"?*"),INDEX('SL bán theo ngày'!O$9:O$82,ROWS($A$11:$A37)),"")</f>
        <v/>
      </c>
      <c r="M37" s="49" t="str">
        <f t="array" aca="1" ref="M37" ca="1">IF(ROWS($A$11:$A37)&lt;=COUNTIF('SL bán theo ngày'!$A$9:$A$82,"?*"),INDEX('SL bán theo ngày'!P$9:P$82,ROWS($A$11:$A37)),"")</f>
        <v/>
      </c>
      <c r="N37" s="49" t="str">
        <f t="array" aca="1" ref="N37" ca="1">IF(ROWS($A$11:$A37)&lt;=COUNTIF('SL bán theo ngày'!$A$9:$A$82,"?*"),INDEX('SL bán theo ngày'!Q$9:Q$82,ROWS($A$11:$A37)),"")</f>
        <v/>
      </c>
      <c r="O37" s="49" t="str">
        <f t="array" aca="1" ref="O37" ca="1">IF(ROWS($A$11:$A37)&lt;=COUNTIF('SL bán theo ngày'!$A$9:$A$82,"?*"),INDEX('SL bán theo ngày'!R$9:R$82,ROWS($A$11:$A37)),"")</f>
        <v/>
      </c>
      <c r="P37" s="49" t="str">
        <f t="array" aca="1" ref="P37" ca="1">IF(ROWS($A$11:$A37)&lt;=COUNTIF('SL bán theo ngày'!$A$9:$A$82,"?*"),INDEX('SL bán theo ngày'!S$9:S$82,ROWS($A$11:$A37)),"")</f>
        <v/>
      </c>
      <c r="Q37" s="49" t="str">
        <f t="array" aca="1" ref="Q37" ca="1">IF(ROWS($A$11:$A37)&lt;=COUNTIF('SL bán theo ngày'!$A$9:$A$82,"?*"),INDEX('SL bán theo ngày'!T$9:T$82,ROWS($A$11:$A37)),"")</f>
        <v/>
      </c>
      <c r="R37" s="49" t="str">
        <f t="array" aca="1" ref="R37" ca="1">IF(ROWS($A$11:$A37)&lt;=COUNTIF('SL bán theo ngày'!$A$9:$A$82,"?*"),INDEX('SL bán theo ngày'!U$9:U$82,ROWS($A$11:$A37)),"")</f>
        <v/>
      </c>
      <c r="S37" s="49" t="str">
        <f t="array" aca="1" ref="S37" ca="1">IF(ROWS($A$11:$A37)&lt;=COUNTIF('SL bán theo ngày'!$A$9:$A$82,"?*"),INDEX('SL bán theo ngày'!V$9:V$82,ROWS($A$11:$A37)),"")</f>
        <v/>
      </c>
      <c r="T37" s="49" t="str">
        <f t="array" aca="1" ref="T37" ca="1">IF(ROWS($A$11:$A37)&lt;=COUNTIF('SL bán theo ngày'!$A$9:$A$82,"?*"),INDEX('SL bán theo ngày'!W$9:W$82,ROWS($A$11:$A37)),"")</f>
        <v/>
      </c>
      <c r="U37" s="49" t="str">
        <f t="array" aca="1" ref="U37" ca="1">IF(ROWS($A$11:$A37)&lt;=COUNTIF('SL bán theo ngày'!$A$9:$A$82,"?*"),INDEX('SL bán theo ngày'!X$9:X$82,ROWS($A$11:$A37)),"")</f>
        <v/>
      </c>
      <c r="V37" s="49" t="str">
        <f t="array" aca="1" ref="V37" ca="1">IF(ROWS($A$11:$A37)&lt;=COUNTIF('SL bán theo ngày'!$A$9:$A$82,"?*"),INDEX('SL bán theo ngày'!Y$9:Y$82,ROWS($A$11:$A37)),"")</f>
        <v/>
      </c>
      <c r="W37" s="49" t="str">
        <f t="array" aca="1" ref="W37" ca="1">IF(ROWS($A$11:$A37)&lt;=COUNTIF('SL bán theo ngày'!$A$9:$A$82,"?*"),INDEX('SL bán theo ngày'!Z$9:Z$82,ROWS($A$11:$A37)),"")</f>
        <v/>
      </c>
      <c r="X37" s="49" t="str">
        <f t="array" aca="1" ref="X37" ca="1">IF(ROWS($A$11:$A37)&lt;=COUNTIF('SL bán theo ngày'!$A$9:$A$82,"?*"),INDEX('SL bán theo ngày'!AA$9:AA$82,ROWS($A$11:$A37)),"")</f>
        <v/>
      </c>
      <c r="Y37" s="49" t="str">
        <f t="array" aca="1" ref="Y37" ca="1">IF(ROWS($A$11:$A37)&lt;=COUNTIF('SL bán theo ngày'!$A$9:$A$82,"?*"),INDEX('SL bán theo ngày'!AB$9:AB$82,ROWS($A$11:$A37)),"")</f>
        <v/>
      </c>
      <c r="Z37" s="49" t="str">
        <f t="array" aca="1" ref="Z37" ca="1">IF(ROWS($A$11:$A37)&lt;=COUNTIF('SL bán theo ngày'!$A$9:$A$82,"?*"),INDEX('SL bán theo ngày'!AC$9:AC$82,ROWS($A$11:$A37)),"")</f>
        <v/>
      </c>
      <c r="AA37" s="49" t="str">
        <f t="array" aca="1" ref="AA37" ca="1">IF(ROWS($A$11:$A37)&lt;=COUNTIF('SL bán theo ngày'!$A$9:$A$82,"?*"),INDEX('SL bán theo ngày'!AD$9:AD$82,ROWS($A$11:$A37)),"")</f>
        <v/>
      </c>
      <c r="AB37" s="49" t="str">
        <f t="array" aca="1" ref="AB37" ca="1">IF(ROWS($A$11:$A37)&lt;=COUNTIF('SL bán theo ngày'!$A$9:$A$82,"?*"),INDEX('SL bán theo ngày'!AE$9:AE$82,ROWS($A$11:$A37)),"")</f>
        <v/>
      </c>
      <c r="AC37" s="49" t="str">
        <f t="array" aca="1" ref="AC37" ca="1">IF(ROWS($A$11:$A37)&lt;=COUNTIF('SL bán theo ngày'!$A$9:$A$82,"?*"),INDEX('SL bán theo ngày'!AF$9:AF$82,ROWS($A$11:$A37)),"")</f>
        <v/>
      </c>
      <c r="AD37" s="49" t="str">
        <f t="array" aca="1" ref="AD37" ca="1">IF(ROWS($A$11:$A37)&lt;=COUNTIF('SL bán theo ngày'!$A$9:$A$82,"?*"),INDEX('SL bán theo ngày'!AG$9:AG$82,ROWS($A$11:$A37)),"")</f>
        <v/>
      </c>
      <c r="AE37" s="49" t="str">
        <f t="array" aca="1" ref="AE37" ca="1">IF(ROWS($A$11:$A37)&lt;=COUNTIF('SL bán theo ngày'!$A$9:$A$82,"?*"),INDEX('SL bán theo ngày'!AH$9:AH$82,ROWS($A$11:$A37)),"")</f>
        <v/>
      </c>
      <c r="AF37" s="49" t="str">
        <f t="array" aca="1" ref="AF37" ca="1">IF(ROWS($A$11:$A37)&lt;=COUNTIF('SL bán theo ngày'!$A$9:$A$82,"?*"),INDEX('SL bán theo ngày'!AI$9:AI$82,ROWS($A$11:$A37)),"")</f>
        <v/>
      </c>
      <c r="AG37" s="49" t="str">
        <f t="array" aca="1" ref="AG37" ca="1">IF(ROWS($A$11:$A37)&lt;=COUNTIF('SL bán theo ngày'!$A$9:$A$82,"?*"),INDEX('SL bán theo ngày'!C$9:C$82,ROWS($A$11:$A37)),"")</f>
        <v/>
      </c>
      <c r="AH37" s="74" t="str">
        <f t="array" aca="1" ref="AH37" ca="1">IF(ROWS($A$11:$A37)&lt;=COUNTIF('SL bán theo ngày'!$A$9:$A$82,"?*"),INDEX('SL bán theo ngày'!D$9:D$82,ROWS($A$11:$A37)),"")</f>
        <v/>
      </c>
      <c r="AI37" s="49" t="str">
        <f t="array" aca="1" ref="AI37" ca="1">IF(ROWS($A$11:$A37)&lt;=COUNTIF('SL bán theo ngày'!$A$9:$A$82,"?*"),INDEX('SL bán theo ngày'!E$9:E$82,ROWS($A$11:$A37)),"")</f>
        <v/>
      </c>
      <c r="AJ37" s="49" t="str">
        <f t="array" aca="1" ref="AJ37" ca="1">IF(ROWS($A$11:$A37)&lt;=COUNTIF('SL bán theo ngày'!$A$9:$A$82,"?*"),INDEX('SL bán theo ngày'!AJ$9:AJ$82,ROWS($A$11:$A37)),"")</f>
        <v/>
      </c>
      <c r="AK37" s="49" t="str">
        <f t="array" aca="1" ref="AK37" ca="1">IF(ROWS($A$11:$A37)&lt;=COUNTIF('SL bán theo ngày'!$A$9:$A$82,"?*"),INDEX('SL bán theo ngày'!AK$9:AK$82,ROWS($A$11:$A37)),"")</f>
        <v/>
      </c>
    </row>
    <row r="38" spans="1:37" ht="15.75" customHeight="1" x14ac:dyDescent="0.25">
      <c r="A38" s="33" t="str">
        <f t="array" aca="1" ref="A38" ca="1">IF(ROWS($A$11:$A38)&lt;=COUNTIF('SL bán theo ngày'!$A$9:$A$82,"?*"),INDEX('SL bán theo ngày'!A$9:A$82,ROWS($A$11:$A38)),"")</f>
        <v/>
      </c>
      <c r="B38" s="37" t="str">
        <f t="array" aca="1" ref="B38" ca="1">IF(ROWS($A$11:$A38)&lt;=COUNTIF('SL bán theo ngày'!$A$9:$A$82,"?*"),INDEX('SL bán theo ngày'!B$9:B$82,ROWS($A$11:$A38)),"")</f>
        <v/>
      </c>
      <c r="C38" s="79" t="str">
        <f t="array" aca="1" ref="C38" ca="1">IF(ROWS($A$11:$A38)&lt;=COUNTIF('SL bán theo ngày'!$A$9:$A$82,"?*"),INDEX('SL bán theo ngày'!F$9:F$82,ROWS($A$11:$A38)),"")</f>
        <v/>
      </c>
      <c r="D38" s="49" t="str">
        <f t="array" aca="1" ref="D38" ca="1">IF(ROWS($A$11:$A38)&lt;=COUNTIF('SL bán theo ngày'!$A$9:$A$82,"?*"),INDEX('SL bán theo ngày'!G$9:G$82,ROWS($A$11:$A38)),"")</f>
        <v/>
      </c>
      <c r="E38" s="49" t="str">
        <f t="array" aca="1" ref="E38" ca="1">IF(ROWS($A$11:$A38)&lt;=COUNTIF('SL bán theo ngày'!$A$9:$A$82,"?*"),INDEX('SL bán theo ngày'!H$9:H$82,ROWS($A$11:$A38)),"")</f>
        <v/>
      </c>
      <c r="F38" s="49" t="str">
        <f t="array" aca="1" ref="F38" ca="1">IF(ROWS($A$11:$A38)&lt;=COUNTIF('SL bán theo ngày'!$A$9:$A$82,"?*"),INDEX('SL bán theo ngày'!I$9:I$82,ROWS($A$11:$A38)),"")</f>
        <v/>
      </c>
      <c r="G38" s="49" t="str">
        <f t="array" aca="1" ref="G38" ca="1">IF(ROWS($A$11:$A38)&lt;=COUNTIF('SL bán theo ngày'!$A$9:$A$82,"?*"),INDEX('SL bán theo ngày'!J$9:J$82,ROWS($A$11:$A38)),"")</f>
        <v/>
      </c>
      <c r="H38" s="49" t="str">
        <f t="array" aca="1" ref="H38" ca="1">IF(ROWS($A$11:$A38)&lt;=COUNTIF('SL bán theo ngày'!$A$9:$A$82,"?*"),INDEX('SL bán theo ngày'!K$9:K$82,ROWS($A$11:$A38)),"")</f>
        <v/>
      </c>
      <c r="I38" s="49" t="str">
        <f t="array" aca="1" ref="I38" ca="1">IF(ROWS($A$11:$A38)&lt;=COUNTIF('SL bán theo ngày'!$A$9:$A$82,"?*"),INDEX('SL bán theo ngày'!L$9:L$82,ROWS($A$11:$A38)),"")</f>
        <v/>
      </c>
      <c r="J38" s="49" t="str">
        <f t="array" aca="1" ref="J38" ca="1">IF(ROWS($A$11:$A38)&lt;=COUNTIF('SL bán theo ngày'!$A$9:$A$82,"?*"),INDEX('SL bán theo ngày'!M$9:M$82,ROWS($A$11:$A38)),"")</f>
        <v/>
      </c>
      <c r="K38" s="49" t="str">
        <f t="array" aca="1" ref="K38" ca="1">IF(ROWS($A$11:$A38)&lt;=COUNTIF('SL bán theo ngày'!$A$9:$A$82,"?*"),INDEX('SL bán theo ngày'!N$9:N$82,ROWS($A$11:$A38)),"")</f>
        <v/>
      </c>
      <c r="L38" s="49" t="str">
        <f t="array" aca="1" ref="L38" ca="1">IF(ROWS($A$11:$A38)&lt;=COUNTIF('SL bán theo ngày'!$A$9:$A$82,"?*"),INDEX('SL bán theo ngày'!O$9:O$82,ROWS($A$11:$A38)),"")</f>
        <v/>
      </c>
      <c r="M38" s="49" t="str">
        <f t="array" aca="1" ref="M38" ca="1">IF(ROWS($A$11:$A38)&lt;=COUNTIF('SL bán theo ngày'!$A$9:$A$82,"?*"),INDEX('SL bán theo ngày'!P$9:P$82,ROWS($A$11:$A38)),"")</f>
        <v/>
      </c>
      <c r="N38" s="49" t="str">
        <f t="array" aca="1" ref="N38" ca="1">IF(ROWS($A$11:$A38)&lt;=COUNTIF('SL bán theo ngày'!$A$9:$A$82,"?*"),INDEX('SL bán theo ngày'!Q$9:Q$82,ROWS($A$11:$A38)),"")</f>
        <v/>
      </c>
      <c r="O38" s="49" t="str">
        <f t="array" aca="1" ref="O38" ca="1">IF(ROWS($A$11:$A38)&lt;=COUNTIF('SL bán theo ngày'!$A$9:$A$82,"?*"),INDEX('SL bán theo ngày'!R$9:R$82,ROWS($A$11:$A38)),"")</f>
        <v/>
      </c>
      <c r="P38" s="49" t="str">
        <f t="array" aca="1" ref="P38" ca="1">IF(ROWS($A$11:$A38)&lt;=COUNTIF('SL bán theo ngày'!$A$9:$A$82,"?*"),INDEX('SL bán theo ngày'!S$9:S$82,ROWS($A$11:$A38)),"")</f>
        <v/>
      </c>
      <c r="Q38" s="49" t="str">
        <f t="array" aca="1" ref="Q38" ca="1">IF(ROWS($A$11:$A38)&lt;=COUNTIF('SL bán theo ngày'!$A$9:$A$82,"?*"),INDEX('SL bán theo ngày'!T$9:T$82,ROWS($A$11:$A38)),"")</f>
        <v/>
      </c>
      <c r="R38" s="49" t="str">
        <f t="array" aca="1" ref="R38" ca="1">IF(ROWS($A$11:$A38)&lt;=COUNTIF('SL bán theo ngày'!$A$9:$A$82,"?*"),INDEX('SL bán theo ngày'!U$9:U$82,ROWS($A$11:$A38)),"")</f>
        <v/>
      </c>
      <c r="S38" s="49" t="str">
        <f t="array" aca="1" ref="S38" ca="1">IF(ROWS($A$11:$A38)&lt;=COUNTIF('SL bán theo ngày'!$A$9:$A$82,"?*"),INDEX('SL bán theo ngày'!V$9:V$82,ROWS($A$11:$A38)),"")</f>
        <v/>
      </c>
      <c r="T38" s="49" t="str">
        <f t="array" aca="1" ref="T38" ca="1">IF(ROWS($A$11:$A38)&lt;=COUNTIF('SL bán theo ngày'!$A$9:$A$82,"?*"),INDEX('SL bán theo ngày'!W$9:W$82,ROWS($A$11:$A38)),"")</f>
        <v/>
      </c>
      <c r="U38" s="49" t="str">
        <f t="array" aca="1" ref="U38" ca="1">IF(ROWS($A$11:$A38)&lt;=COUNTIF('SL bán theo ngày'!$A$9:$A$82,"?*"),INDEX('SL bán theo ngày'!X$9:X$82,ROWS($A$11:$A38)),"")</f>
        <v/>
      </c>
      <c r="V38" s="49" t="str">
        <f t="array" aca="1" ref="V38" ca="1">IF(ROWS($A$11:$A38)&lt;=COUNTIF('SL bán theo ngày'!$A$9:$A$82,"?*"),INDEX('SL bán theo ngày'!Y$9:Y$82,ROWS($A$11:$A38)),"")</f>
        <v/>
      </c>
      <c r="W38" s="49" t="str">
        <f t="array" aca="1" ref="W38" ca="1">IF(ROWS($A$11:$A38)&lt;=COUNTIF('SL bán theo ngày'!$A$9:$A$82,"?*"),INDEX('SL bán theo ngày'!Z$9:Z$82,ROWS($A$11:$A38)),"")</f>
        <v/>
      </c>
      <c r="X38" s="49" t="str">
        <f t="array" aca="1" ref="X38" ca="1">IF(ROWS($A$11:$A38)&lt;=COUNTIF('SL bán theo ngày'!$A$9:$A$82,"?*"),INDEX('SL bán theo ngày'!AA$9:AA$82,ROWS($A$11:$A38)),"")</f>
        <v/>
      </c>
      <c r="Y38" s="49" t="str">
        <f t="array" aca="1" ref="Y38" ca="1">IF(ROWS($A$11:$A38)&lt;=COUNTIF('SL bán theo ngày'!$A$9:$A$82,"?*"),INDEX('SL bán theo ngày'!AB$9:AB$82,ROWS($A$11:$A38)),"")</f>
        <v/>
      </c>
      <c r="Z38" s="49" t="str">
        <f t="array" aca="1" ref="Z38" ca="1">IF(ROWS($A$11:$A38)&lt;=COUNTIF('SL bán theo ngày'!$A$9:$A$82,"?*"),INDEX('SL bán theo ngày'!AC$9:AC$82,ROWS($A$11:$A38)),"")</f>
        <v/>
      </c>
      <c r="AA38" s="49" t="str">
        <f t="array" aca="1" ref="AA38" ca="1">IF(ROWS($A$11:$A38)&lt;=COUNTIF('SL bán theo ngày'!$A$9:$A$82,"?*"),INDEX('SL bán theo ngày'!AD$9:AD$82,ROWS($A$11:$A38)),"")</f>
        <v/>
      </c>
      <c r="AB38" s="49" t="str">
        <f t="array" aca="1" ref="AB38" ca="1">IF(ROWS($A$11:$A38)&lt;=COUNTIF('SL bán theo ngày'!$A$9:$A$82,"?*"),INDEX('SL bán theo ngày'!AE$9:AE$82,ROWS($A$11:$A38)),"")</f>
        <v/>
      </c>
      <c r="AC38" s="49" t="str">
        <f t="array" aca="1" ref="AC38" ca="1">IF(ROWS($A$11:$A38)&lt;=COUNTIF('SL bán theo ngày'!$A$9:$A$82,"?*"),INDEX('SL bán theo ngày'!AF$9:AF$82,ROWS($A$11:$A38)),"")</f>
        <v/>
      </c>
      <c r="AD38" s="49" t="str">
        <f t="array" aca="1" ref="AD38" ca="1">IF(ROWS($A$11:$A38)&lt;=COUNTIF('SL bán theo ngày'!$A$9:$A$82,"?*"),INDEX('SL bán theo ngày'!AG$9:AG$82,ROWS($A$11:$A38)),"")</f>
        <v/>
      </c>
      <c r="AE38" s="49" t="str">
        <f t="array" aca="1" ref="AE38" ca="1">IF(ROWS($A$11:$A38)&lt;=COUNTIF('SL bán theo ngày'!$A$9:$A$82,"?*"),INDEX('SL bán theo ngày'!AH$9:AH$82,ROWS($A$11:$A38)),"")</f>
        <v/>
      </c>
      <c r="AF38" s="49" t="str">
        <f t="array" aca="1" ref="AF38" ca="1">IF(ROWS($A$11:$A38)&lt;=COUNTIF('SL bán theo ngày'!$A$9:$A$82,"?*"),INDEX('SL bán theo ngày'!AI$9:AI$82,ROWS($A$11:$A38)),"")</f>
        <v/>
      </c>
      <c r="AG38" s="49" t="str">
        <f t="array" aca="1" ref="AG38" ca="1">IF(ROWS($A$11:$A38)&lt;=COUNTIF('SL bán theo ngày'!$A$9:$A$82,"?*"),INDEX('SL bán theo ngày'!C$9:C$82,ROWS($A$11:$A38)),"")</f>
        <v/>
      </c>
      <c r="AH38" s="74" t="str">
        <f t="array" aca="1" ref="AH38" ca="1">IF(ROWS($A$11:$A38)&lt;=COUNTIF('SL bán theo ngày'!$A$9:$A$82,"?*"),INDEX('SL bán theo ngày'!D$9:D$82,ROWS($A$11:$A38)),"")</f>
        <v/>
      </c>
      <c r="AI38" s="49" t="str">
        <f t="array" aca="1" ref="AI38" ca="1">IF(ROWS($A$11:$A38)&lt;=COUNTIF('SL bán theo ngày'!$A$9:$A$82,"?*"),INDEX('SL bán theo ngày'!E$9:E$82,ROWS($A$11:$A38)),"")</f>
        <v/>
      </c>
      <c r="AJ38" s="49" t="str">
        <f t="array" aca="1" ref="AJ38" ca="1">IF(ROWS($A$11:$A38)&lt;=COUNTIF('SL bán theo ngày'!$A$9:$A$82,"?*"),INDEX('SL bán theo ngày'!AJ$9:AJ$82,ROWS($A$11:$A38)),"")</f>
        <v/>
      </c>
      <c r="AK38" s="49" t="str">
        <f t="array" aca="1" ref="AK38" ca="1">IF(ROWS($A$11:$A38)&lt;=COUNTIF('SL bán theo ngày'!$A$9:$A$82,"?*"),INDEX('SL bán theo ngày'!AK$9:AK$82,ROWS($A$11:$A38)),"")</f>
        <v/>
      </c>
    </row>
    <row r="39" spans="1:37" ht="15.75" customHeight="1" x14ac:dyDescent="0.25">
      <c r="A39" s="33" t="str">
        <f t="array" aca="1" ref="A39" ca="1">IF(ROWS($A$11:$A39)&lt;=COUNTIF('SL bán theo ngày'!$A$9:$A$82,"?*"),INDEX('SL bán theo ngày'!A$9:A$82,ROWS($A$11:$A39)),"")</f>
        <v/>
      </c>
      <c r="B39" s="37" t="str">
        <f t="array" aca="1" ref="B39" ca="1">IF(ROWS($A$11:$A39)&lt;=COUNTIF('SL bán theo ngày'!$A$9:$A$82,"?*"),INDEX('SL bán theo ngày'!B$9:B$82,ROWS($A$11:$A39)),"")</f>
        <v/>
      </c>
      <c r="C39" s="79" t="str">
        <f t="array" aca="1" ref="C39" ca="1">IF(ROWS($A$11:$A39)&lt;=COUNTIF('SL bán theo ngày'!$A$9:$A$82,"?*"),INDEX('SL bán theo ngày'!F$9:F$82,ROWS($A$11:$A39)),"")</f>
        <v/>
      </c>
      <c r="D39" s="49" t="str">
        <f t="array" aca="1" ref="D39" ca="1">IF(ROWS($A$11:$A39)&lt;=COUNTIF('SL bán theo ngày'!$A$9:$A$82,"?*"),INDEX('SL bán theo ngày'!G$9:G$82,ROWS($A$11:$A39)),"")</f>
        <v/>
      </c>
      <c r="E39" s="49" t="str">
        <f t="array" aca="1" ref="E39" ca="1">IF(ROWS($A$11:$A39)&lt;=COUNTIF('SL bán theo ngày'!$A$9:$A$82,"?*"),INDEX('SL bán theo ngày'!H$9:H$82,ROWS($A$11:$A39)),"")</f>
        <v/>
      </c>
      <c r="F39" s="49" t="str">
        <f t="array" aca="1" ref="F39" ca="1">IF(ROWS($A$11:$A39)&lt;=COUNTIF('SL bán theo ngày'!$A$9:$A$82,"?*"),INDEX('SL bán theo ngày'!I$9:I$82,ROWS($A$11:$A39)),"")</f>
        <v/>
      </c>
      <c r="G39" s="49" t="str">
        <f t="array" aca="1" ref="G39" ca="1">IF(ROWS($A$11:$A39)&lt;=COUNTIF('SL bán theo ngày'!$A$9:$A$82,"?*"),INDEX('SL bán theo ngày'!J$9:J$82,ROWS($A$11:$A39)),"")</f>
        <v/>
      </c>
      <c r="H39" s="49" t="str">
        <f t="array" aca="1" ref="H39" ca="1">IF(ROWS($A$11:$A39)&lt;=COUNTIF('SL bán theo ngày'!$A$9:$A$82,"?*"),INDEX('SL bán theo ngày'!K$9:K$82,ROWS($A$11:$A39)),"")</f>
        <v/>
      </c>
      <c r="I39" s="49" t="str">
        <f t="array" aca="1" ref="I39" ca="1">IF(ROWS($A$11:$A39)&lt;=COUNTIF('SL bán theo ngày'!$A$9:$A$82,"?*"),INDEX('SL bán theo ngày'!L$9:L$82,ROWS($A$11:$A39)),"")</f>
        <v/>
      </c>
      <c r="J39" s="49" t="str">
        <f t="array" aca="1" ref="J39" ca="1">IF(ROWS($A$11:$A39)&lt;=COUNTIF('SL bán theo ngày'!$A$9:$A$82,"?*"),INDEX('SL bán theo ngày'!M$9:M$82,ROWS($A$11:$A39)),"")</f>
        <v/>
      </c>
      <c r="K39" s="49" t="str">
        <f t="array" aca="1" ref="K39" ca="1">IF(ROWS($A$11:$A39)&lt;=COUNTIF('SL bán theo ngày'!$A$9:$A$82,"?*"),INDEX('SL bán theo ngày'!N$9:N$82,ROWS($A$11:$A39)),"")</f>
        <v/>
      </c>
      <c r="L39" s="49" t="str">
        <f t="array" aca="1" ref="L39" ca="1">IF(ROWS($A$11:$A39)&lt;=COUNTIF('SL bán theo ngày'!$A$9:$A$82,"?*"),INDEX('SL bán theo ngày'!O$9:O$82,ROWS($A$11:$A39)),"")</f>
        <v/>
      </c>
      <c r="M39" s="49" t="str">
        <f t="array" aca="1" ref="M39" ca="1">IF(ROWS($A$11:$A39)&lt;=COUNTIF('SL bán theo ngày'!$A$9:$A$82,"?*"),INDEX('SL bán theo ngày'!P$9:P$82,ROWS($A$11:$A39)),"")</f>
        <v/>
      </c>
      <c r="N39" s="49" t="str">
        <f t="array" aca="1" ref="N39" ca="1">IF(ROWS($A$11:$A39)&lt;=COUNTIF('SL bán theo ngày'!$A$9:$A$82,"?*"),INDEX('SL bán theo ngày'!Q$9:Q$82,ROWS($A$11:$A39)),"")</f>
        <v/>
      </c>
      <c r="O39" s="49" t="str">
        <f t="array" aca="1" ref="O39" ca="1">IF(ROWS($A$11:$A39)&lt;=COUNTIF('SL bán theo ngày'!$A$9:$A$82,"?*"),INDEX('SL bán theo ngày'!R$9:R$82,ROWS($A$11:$A39)),"")</f>
        <v/>
      </c>
      <c r="P39" s="49" t="str">
        <f t="array" aca="1" ref="P39" ca="1">IF(ROWS($A$11:$A39)&lt;=COUNTIF('SL bán theo ngày'!$A$9:$A$82,"?*"),INDEX('SL bán theo ngày'!S$9:S$82,ROWS($A$11:$A39)),"")</f>
        <v/>
      </c>
      <c r="Q39" s="49" t="str">
        <f t="array" aca="1" ref="Q39" ca="1">IF(ROWS($A$11:$A39)&lt;=COUNTIF('SL bán theo ngày'!$A$9:$A$82,"?*"),INDEX('SL bán theo ngày'!T$9:T$82,ROWS($A$11:$A39)),"")</f>
        <v/>
      </c>
      <c r="R39" s="49" t="str">
        <f t="array" aca="1" ref="R39" ca="1">IF(ROWS($A$11:$A39)&lt;=COUNTIF('SL bán theo ngày'!$A$9:$A$82,"?*"),INDEX('SL bán theo ngày'!U$9:U$82,ROWS($A$11:$A39)),"")</f>
        <v/>
      </c>
      <c r="S39" s="49" t="str">
        <f t="array" aca="1" ref="S39" ca="1">IF(ROWS($A$11:$A39)&lt;=COUNTIF('SL bán theo ngày'!$A$9:$A$82,"?*"),INDEX('SL bán theo ngày'!V$9:V$82,ROWS($A$11:$A39)),"")</f>
        <v/>
      </c>
      <c r="T39" s="49" t="str">
        <f t="array" aca="1" ref="T39" ca="1">IF(ROWS($A$11:$A39)&lt;=COUNTIF('SL bán theo ngày'!$A$9:$A$82,"?*"),INDEX('SL bán theo ngày'!W$9:W$82,ROWS($A$11:$A39)),"")</f>
        <v/>
      </c>
      <c r="U39" s="49" t="str">
        <f t="array" aca="1" ref="U39" ca="1">IF(ROWS($A$11:$A39)&lt;=COUNTIF('SL bán theo ngày'!$A$9:$A$82,"?*"),INDEX('SL bán theo ngày'!X$9:X$82,ROWS($A$11:$A39)),"")</f>
        <v/>
      </c>
      <c r="V39" s="49" t="str">
        <f t="array" aca="1" ref="V39" ca="1">IF(ROWS($A$11:$A39)&lt;=COUNTIF('SL bán theo ngày'!$A$9:$A$82,"?*"),INDEX('SL bán theo ngày'!Y$9:Y$82,ROWS($A$11:$A39)),"")</f>
        <v/>
      </c>
      <c r="W39" s="49" t="str">
        <f t="array" aca="1" ref="W39" ca="1">IF(ROWS($A$11:$A39)&lt;=COUNTIF('SL bán theo ngày'!$A$9:$A$82,"?*"),INDEX('SL bán theo ngày'!Z$9:Z$82,ROWS($A$11:$A39)),"")</f>
        <v/>
      </c>
      <c r="X39" s="49" t="str">
        <f t="array" aca="1" ref="X39" ca="1">IF(ROWS($A$11:$A39)&lt;=COUNTIF('SL bán theo ngày'!$A$9:$A$82,"?*"),INDEX('SL bán theo ngày'!AA$9:AA$82,ROWS($A$11:$A39)),"")</f>
        <v/>
      </c>
      <c r="Y39" s="49" t="str">
        <f t="array" aca="1" ref="Y39" ca="1">IF(ROWS($A$11:$A39)&lt;=COUNTIF('SL bán theo ngày'!$A$9:$A$82,"?*"),INDEX('SL bán theo ngày'!AB$9:AB$82,ROWS($A$11:$A39)),"")</f>
        <v/>
      </c>
      <c r="Z39" s="49" t="str">
        <f t="array" aca="1" ref="Z39" ca="1">IF(ROWS($A$11:$A39)&lt;=COUNTIF('SL bán theo ngày'!$A$9:$A$82,"?*"),INDEX('SL bán theo ngày'!AC$9:AC$82,ROWS($A$11:$A39)),"")</f>
        <v/>
      </c>
      <c r="AA39" s="49" t="str">
        <f t="array" aca="1" ref="AA39" ca="1">IF(ROWS($A$11:$A39)&lt;=COUNTIF('SL bán theo ngày'!$A$9:$A$82,"?*"),INDEX('SL bán theo ngày'!AD$9:AD$82,ROWS($A$11:$A39)),"")</f>
        <v/>
      </c>
      <c r="AB39" s="49" t="str">
        <f t="array" aca="1" ref="AB39" ca="1">IF(ROWS($A$11:$A39)&lt;=COUNTIF('SL bán theo ngày'!$A$9:$A$82,"?*"),INDEX('SL bán theo ngày'!AE$9:AE$82,ROWS($A$11:$A39)),"")</f>
        <v/>
      </c>
      <c r="AC39" s="49" t="str">
        <f t="array" aca="1" ref="AC39" ca="1">IF(ROWS($A$11:$A39)&lt;=COUNTIF('SL bán theo ngày'!$A$9:$A$82,"?*"),INDEX('SL bán theo ngày'!AF$9:AF$82,ROWS($A$11:$A39)),"")</f>
        <v/>
      </c>
      <c r="AD39" s="49" t="str">
        <f t="array" aca="1" ref="AD39" ca="1">IF(ROWS($A$11:$A39)&lt;=COUNTIF('SL bán theo ngày'!$A$9:$A$82,"?*"),INDEX('SL bán theo ngày'!AG$9:AG$82,ROWS($A$11:$A39)),"")</f>
        <v/>
      </c>
      <c r="AE39" s="49" t="str">
        <f t="array" aca="1" ref="AE39" ca="1">IF(ROWS($A$11:$A39)&lt;=COUNTIF('SL bán theo ngày'!$A$9:$A$82,"?*"),INDEX('SL bán theo ngày'!AH$9:AH$82,ROWS($A$11:$A39)),"")</f>
        <v/>
      </c>
      <c r="AF39" s="49" t="str">
        <f t="array" aca="1" ref="AF39" ca="1">IF(ROWS($A$11:$A39)&lt;=COUNTIF('SL bán theo ngày'!$A$9:$A$82,"?*"),INDEX('SL bán theo ngày'!AI$9:AI$82,ROWS($A$11:$A39)),"")</f>
        <v/>
      </c>
      <c r="AG39" s="49" t="str">
        <f t="array" aca="1" ref="AG39" ca="1">IF(ROWS($A$11:$A39)&lt;=COUNTIF('SL bán theo ngày'!$A$9:$A$82,"?*"),INDEX('SL bán theo ngày'!C$9:C$82,ROWS($A$11:$A39)),"")</f>
        <v/>
      </c>
      <c r="AH39" s="74" t="str">
        <f t="array" aca="1" ref="AH39" ca="1">IF(ROWS($A$11:$A39)&lt;=COUNTIF('SL bán theo ngày'!$A$9:$A$82,"?*"),INDEX('SL bán theo ngày'!D$9:D$82,ROWS($A$11:$A39)),"")</f>
        <v/>
      </c>
      <c r="AI39" s="49" t="str">
        <f t="array" aca="1" ref="AI39" ca="1">IF(ROWS($A$11:$A39)&lt;=COUNTIF('SL bán theo ngày'!$A$9:$A$82,"?*"),INDEX('SL bán theo ngày'!E$9:E$82,ROWS($A$11:$A39)),"")</f>
        <v/>
      </c>
      <c r="AJ39" s="49" t="str">
        <f t="array" aca="1" ref="AJ39" ca="1">IF(ROWS($A$11:$A39)&lt;=COUNTIF('SL bán theo ngày'!$A$9:$A$82,"?*"),INDEX('SL bán theo ngày'!AJ$9:AJ$82,ROWS($A$11:$A39)),"")</f>
        <v/>
      </c>
      <c r="AK39" s="49" t="str">
        <f t="array" aca="1" ref="AK39" ca="1">IF(ROWS($A$11:$A39)&lt;=COUNTIF('SL bán theo ngày'!$A$9:$A$82,"?*"),INDEX('SL bán theo ngày'!AK$9:AK$82,ROWS($A$11:$A39)),"")</f>
        <v/>
      </c>
    </row>
    <row r="40" spans="1:37" ht="15.75" customHeight="1" x14ac:dyDescent="0.25">
      <c r="A40" s="33" t="str">
        <f t="array" aca="1" ref="A40" ca="1">IF(ROWS($A$11:$A40)&lt;=COUNTIF('SL bán theo ngày'!$A$9:$A$82,"?*"),INDEX('SL bán theo ngày'!A$9:A$82,ROWS($A$11:$A40)),"")</f>
        <v/>
      </c>
      <c r="B40" s="37" t="str">
        <f t="array" aca="1" ref="B40" ca="1">IF(ROWS($A$11:$A40)&lt;=COUNTIF('SL bán theo ngày'!$A$9:$A$82,"?*"),INDEX('SL bán theo ngày'!B$9:B$82,ROWS($A$11:$A40)),"")</f>
        <v/>
      </c>
      <c r="C40" s="79" t="str">
        <f t="array" aca="1" ref="C40" ca="1">IF(ROWS($A$11:$A40)&lt;=COUNTIF('SL bán theo ngày'!$A$9:$A$82,"?*"),INDEX('SL bán theo ngày'!F$9:F$82,ROWS($A$11:$A40)),"")</f>
        <v/>
      </c>
      <c r="D40" s="49" t="str">
        <f t="array" aca="1" ref="D40" ca="1">IF(ROWS($A$11:$A40)&lt;=COUNTIF('SL bán theo ngày'!$A$9:$A$82,"?*"),INDEX('SL bán theo ngày'!G$9:G$82,ROWS($A$11:$A40)),"")</f>
        <v/>
      </c>
      <c r="E40" s="49" t="str">
        <f t="array" aca="1" ref="E40" ca="1">IF(ROWS($A$11:$A40)&lt;=COUNTIF('SL bán theo ngày'!$A$9:$A$82,"?*"),INDEX('SL bán theo ngày'!H$9:H$82,ROWS($A$11:$A40)),"")</f>
        <v/>
      </c>
      <c r="F40" s="49" t="str">
        <f t="array" aca="1" ref="F40" ca="1">IF(ROWS($A$11:$A40)&lt;=COUNTIF('SL bán theo ngày'!$A$9:$A$82,"?*"),INDEX('SL bán theo ngày'!I$9:I$82,ROWS($A$11:$A40)),"")</f>
        <v/>
      </c>
      <c r="G40" s="49" t="str">
        <f t="array" aca="1" ref="G40" ca="1">IF(ROWS($A$11:$A40)&lt;=COUNTIF('SL bán theo ngày'!$A$9:$A$82,"?*"),INDEX('SL bán theo ngày'!J$9:J$82,ROWS($A$11:$A40)),"")</f>
        <v/>
      </c>
      <c r="H40" s="49" t="str">
        <f t="array" aca="1" ref="H40" ca="1">IF(ROWS($A$11:$A40)&lt;=COUNTIF('SL bán theo ngày'!$A$9:$A$82,"?*"),INDEX('SL bán theo ngày'!K$9:K$82,ROWS($A$11:$A40)),"")</f>
        <v/>
      </c>
      <c r="I40" s="49" t="str">
        <f t="array" aca="1" ref="I40" ca="1">IF(ROWS($A$11:$A40)&lt;=COUNTIF('SL bán theo ngày'!$A$9:$A$82,"?*"),INDEX('SL bán theo ngày'!L$9:L$82,ROWS($A$11:$A40)),"")</f>
        <v/>
      </c>
      <c r="J40" s="49" t="str">
        <f t="array" aca="1" ref="J40" ca="1">IF(ROWS($A$11:$A40)&lt;=COUNTIF('SL bán theo ngày'!$A$9:$A$82,"?*"),INDEX('SL bán theo ngày'!M$9:M$82,ROWS($A$11:$A40)),"")</f>
        <v/>
      </c>
      <c r="K40" s="49" t="str">
        <f t="array" aca="1" ref="K40" ca="1">IF(ROWS($A$11:$A40)&lt;=COUNTIF('SL bán theo ngày'!$A$9:$A$82,"?*"),INDEX('SL bán theo ngày'!N$9:N$82,ROWS($A$11:$A40)),"")</f>
        <v/>
      </c>
      <c r="L40" s="49" t="str">
        <f t="array" aca="1" ref="L40" ca="1">IF(ROWS($A$11:$A40)&lt;=COUNTIF('SL bán theo ngày'!$A$9:$A$82,"?*"),INDEX('SL bán theo ngày'!O$9:O$82,ROWS($A$11:$A40)),"")</f>
        <v/>
      </c>
      <c r="M40" s="49" t="str">
        <f t="array" aca="1" ref="M40" ca="1">IF(ROWS($A$11:$A40)&lt;=COUNTIF('SL bán theo ngày'!$A$9:$A$82,"?*"),INDEX('SL bán theo ngày'!P$9:P$82,ROWS($A$11:$A40)),"")</f>
        <v/>
      </c>
      <c r="N40" s="49" t="str">
        <f t="array" aca="1" ref="N40" ca="1">IF(ROWS($A$11:$A40)&lt;=COUNTIF('SL bán theo ngày'!$A$9:$A$82,"?*"),INDEX('SL bán theo ngày'!Q$9:Q$82,ROWS($A$11:$A40)),"")</f>
        <v/>
      </c>
      <c r="O40" s="49" t="str">
        <f t="array" aca="1" ref="O40" ca="1">IF(ROWS($A$11:$A40)&lt;=COUNTIF('SL bán theo ngày'!$A$9:$A$82,"?*"),INDEX('SL bán theo ngày'!R$9:R$82,ROWS($A$11:$A40)),"")</f>
        <v/>
      </c>
      <c r="P40" s="49" t="str">
        <f t="array" aca="1" ref="P40" ca="1">IF(ROWS($A$11:$A40)&lt;=COUNTIF('SL bán theo ngày'!$A$9:$A$82,"?*"),INDEX('SL bán theo ngày'!S$9:S$82,ROWS($A$11:$A40)),"")</f>
        <v/>
      </c>
      <c r="Q40" s="49" t="str">
        <f t="array" aca="1" ref="Q40" ca="1">IF(ROWS($A$11:$A40)&lt;=COUNTIF('SL bán theo ngày'!$A$9:$A$82,"?*"),INDEX('SL bán theo ngày'!T$9:T$82,ROWS($A$11:$A40)),"")</f>
        <v/>
      </c>
      <c r="R40" s="49" t="str">
        <f t="array" aca="1" ref="R40" ca="1">IF(ROWS($A$11:$A40)&lt;=COUNTIF('SL bán theo ngày'!$A$9:$A$82,"?*"),INDEX('SL bán theo ngày'!U$9:U$82,ROWS($A$11:$A40)),"")</f>
        <v/>
      </c>
      <c r="S40" s="49" t="str">
        <f t="array" aca="1" ref="S40" ca="1">IF(ROWS($A$11:$A40)&lt;=COUNTIF('SL bán theo ngày'!$A$9:$A$82,"?*"),INDEX('SL bán theo ngày'!V$9:V$82,ROWS($A$11:$A40)),"")</f>
        <v/>
      </c>
      <c r="T40" s="49" t="str">
        <f t="array" aca="1" ref="T40" ca="1">IF(ROWS($A$11:$A40)&lt;=COUNTIF('SL bán theo ngày'!$A$9:$A$82,"?*"),INDEX('SL bán theo ngày'!W$9:W$82,ROWS($A$11:$A40)),"")</f>
        <v/>
      </c>
      <c r="U40" s="49" t="str">
        <f t="array" aca="1" ref="U40" ca="1">IF(ROWS($A$11:$A40)&lt;=COUNTIF('SL bán theo ngày'!$A$9:$A$82,"?*"),INDEX('SL bán theo ngày'!X$9:X$82,ROWS($A$11:$A40)),"")</f>
        <v/>
      </c>
      <c r="V40" s="49" t="str">
        <f t="array" aca="1" ref="V40" ca="1">IF(ROWS($A$11:$A40)&lt;=COUNTIF('SL bán theo ngày'!$A$9:$A$82,"?*"),INDEX('SL bán theo ngày'!Y$9:Y$82,ROWS($A$11:$A40)),"")</f>
        <v/>
      </c>
      <c r="W40" s="49" t="str">
        <f t="array" aca="1" ref="W40" ca="1">IF(ROWS($A$11:$A40)&lt;=COUNTIF('SL bán theo ngày'!$A$9:$A$82,"?*"),INDEX('SL bán theo ngày'!Z$9:Z$82,ROWS($A$11:$A40)),"")</f>
        <v/>
      </c>
      <c r="X40" s="49" t="str">
        <f t="array" aca="1" ref="X40" ca="1">IF(ROWS($A$11:$A40)&lt;=COUNTIF('SL bán theo ngày'!$A$9:$A$82,"?*"),INDEX('SL bán theo ngày'!AA$9:AA$82,ROWS($A$11:$A40)),"")</f>
        <v/>
      </c>
      <c r="Y40" s="49" t="str">
        <f t="array" aca="1" ref="Y40" ca="1">IF(ROWS($A$11:$A40)&lt;=COUNTIF('SL bán theo ngày'!$A$9:$A$82,"?*"),INDEX('SL bán theo ngày'!AB$9:AB$82,ROWS($A$11:$A40)),"")</f>
        <v/>
      </c>
      <c r="Z40" s="49" t="str">
        <f t="array" aca="1" ref="Z40" ca="1">IF(ROWS($A$11:$A40)&lt;=COUNTIF('SL bán theo ngày'!$A$9:$A$82,"?*"),INDEX('SL bán theo ngày'!AC$9:AC$82,ROWS($A$11:$A40)),"")</f>
        <v/>
      </c>
      <c r="AA40" s="49" t="str">
        <f t="array" aca="1" ref="AA40" ca="1">IF(ROWS($A$11:$A40)&lt;=COUNTIF('SL bán theo ngày'!$A$9:$A$82,"?*"),INDEX('SL bán theo ngày'!AD$9:AD$82,ROWS($A$11:$A40)),"")</f>
        <v/>
      </c>
      <c r="AB40" s="49" t="str">
        <f t="array" aca="1" ref="AB40" ca="1">IF(ROWS($A$11:$A40)&lt;=COUNTIF('SL bán theo ngày'!$A$9:$A$82,"?*"),INDEX('SL bán theo ngày'!AE$9:AE$82,ROWS($A$11:$A40)),"")</f>
        <v/>
      </c>
      <c r="AC40" s="49" t="str">
        <f t="array" aca="1" ref="AC40" ca="1">IF(ROWS($A$11:$A40)&lt;=COUNTIF('SL bán theo ngày'!$A$9:$A$82,"?*"),INDEX('SL bán theo ngày'!AF$9:AF$82,ROWS($A$11:$A40)),"")</f>
        <v/>
      </c>
      <c r="AD40" s="49" t="str">
        <f t="array" aca="1" ref="AD40" ca="1">IF(ROWS($A$11:$A40)&lt;=COUNTIF('SL bán theo ngày'!$A$9:$A$82,"?*"),INDEX('SL bán theo ngày'!AG$9:AG$82,ROWS($A$11:$A40)),"")</f>
        <v/>
      </c>
      <c r="AE40" s="49" t="str">
        <f t="array" aca="1" ref="AE40" ca="1">IF(ROWS($A$11:$A40)&lt;=COUNTIF('SL bán theo ngày'!$A$9:$A$82,"?*"),INDEX('SL bán theo ngày'!AH$9:AH$82,ROWS($A$11:$A40)),"")</f>
        <v/>
      </c>
      <c r="AF40" s="49" t="str">
        <f t="array" aca="1" ref="AF40" ca="1">IF(ROWS($A$11:$A40)&lt;=COUNTIF('SL bán theo ngày'!$A$9:$A$82,"?*"),INDEX('SL bán theo ngày'!AI$9:AI$82,ROWS($A$11:$A40)),"")</f>
        <v/>
      </c>
      <c r="AG40" s="49" t="str">
        <f t="array" aca="1" ref="AG40" ca="1">IF(ROWS($A$11:$A40)&lt;=COUNTIF('SL bán theo ngày'!$A$9:$A$82,"?*"),INDEX('SL bán theo ngày'!C$9:C$82,ROWS($A$11:$A40)),"")</f>
        <v/>
      </c>
      <c r="AH40" s="74" t="str">
        <f t="array" aca="1" ref="AH40" ca="1">IF(ROWS($A$11:$A40)&lt;=COUNTIF('SL bán theo ngày'!$A$9:$A$82,"?*"),INDEX('SL bán theo ngày'!D$9:D$82,ROWS($A$11:$A40)),"")</f>
        <v/>
      </c>
      <c r="AI40" s="49" t="str">
        <f t="array" aca="1" ref="AI40" ca="1">IF(ROWS($A$11:$A40)&lt;=COUNTIF('SL bán theo ngày'!$A$9:$A$82,"?*"),INDEX('SL bán theo ngày'!E$9:E$82,ROWS($A$11:$A40)),"")</f>
        <v/>
      </c>
      <c r="AJ40" s="49" t="str">
        <f t="array" aca="1" ref="AJ40" ca="1">IF(ROWS($A$11:$A40)&lt;=COUNTIF('SL bán theo ngày'!$A$9:$A$82,"?*"),INDEX('SL bán theo ngày'!AJ$9:AJ$82,ROWS($A$11:$A40)),"")</f>
        <v/>
      </c>
      <c r="AK40" s="49" t="str">
        <f t="array" aca="1" ref="AK40" ca="1">IF(ROWS($A$11:$A40)&lt;=COUNTIF('SL bán theo ngày'!$A$9:$A$82,"?*"),INDEX('SL bán theo ngày'!AK$9:AK$82,ROWS($A$11:$A40)),"")</f>
        <v/>
      </c>
    </row>
    <row r="41" spans="1:37" ht="15.75" customHeight="1" x14ac:dyDescent="0.25">
      <c r="A41" s="33" t="str">
        <f t="array" aca="1" ref="A41" ca="1">IF(ROWS($A$11:$A41)&lt;=COUNTIF('SL bán theo ngày'!$A$9:$A$82,"?*"),INDEX('SL bán theo ngày'!A$9:A$82,ROWS($A$11:$A41)),"")</f>
        <v/>
      </c>
      <c r="B41" s="37" t="str">
        <f t="array" aca="1" ref="B41" ca="1">IF(ROWS($A$11:$A41)&lt;=COUNTIF('SL bán theo ngày'!$A$9:$A$82,"?*"),INDEX('SL bán theo ngày'!B$9:B$82,ROWS($A$11:$A41)),"")</f>
        <v/>
      </c>
      <c r="C41" s="79" t="str">
        <f t="array" aca="1" ref="C41" ca="1">IF(ROWS($A$11:$A41)&lt;=COUNTIF('SL bán theo ngày'!$A$9:$A$82,"?*"),INDEX('SL bán theo ngày'!F$9:F$82,ROWS($A$11:$A41)),"")</f>
        <v/>
      </c>
      <c r="D41" s="49" t="str">
        <f t="array" aca="1" ref="D41" ca="1">IF(ROWS($A$11:$A41)&lt;=COUNTIF('SL bán theo ngày'!$A$9:$A$82,"?*"),INDEX('SL bán theo ngày'!G$9:G$82,ROWS($A$11:$A41)),"")</f>
        <v/>
      </c>
      <c r="E41" s="49" t="str">
        <f t="array" aca="1" ref="E41" ca="1">IF(ROWS($A$11:$A41)&lt;=COUNTIF('SL bán theo ngày'!$A$9:$A$82,"?*"),INDEX('SL bán theo ngày'!H$9:H$82,ROWS($A$11:$A41)),"")</f>
        <v/>
      </c>
      <c r="F41" s="49" t="str">
        <f t="array" aca="1" ref="F41" ca="1">IF(ROWS($A$11:$A41)&lt;=COUNTIF('SL bán theo ngày'!$A$9:$A$82,"?*"),INDEX('SL bán theo ngày'!I$9:I$82,ROWS($A$11:$A41)),"")</f>
        <v/>
      </c>
      <c r="G41" s="49" t="str">
        <f t="array" aca="1" ref="G41" ca="1">IF(ROWS($A$11:$A41)&lt;=COUNTIF('SL bán theo ngày'!$A$9:$A$82,"?*"),INDEX('SL bán theo ngày'!J$9:J$82,ROWS($A$11:$A41)),"")</f>
        <v/>
      </c>
      <c r="H41" s="49" t="str">
        <f t="array" aca="1" ref="H41" ca="1">IF(ROWS($A$11:$A41)&lt;=COUNTIF('SL bán theo ngày'!$A$9:$A$82,"?*"),INDEX('SL bán theo ngày'!K$9:K$82,ROWS($A$11:$A41)),"")</f>
        <v/>
      </c>
      <c r="I41" s="49" t="str">
        <f t="array" aca="1" ref="I41" ca="1">IF(ROWS($A$11:$A41)&lt;=COUNTIF('SL bán theo ngày'!$A$9:$A$82,"?*"),INDEX('SL bán theo ngày'!L$9:L$82,ROWS($A$11:$A41)),"")</f>
        <v/>
      </c>
      <c r="J41" s="49" t="str">
        <f t="array" aca="1" ref="J41" ca="1">IF(ROWS($A$11:$A41)&lt;=COUNTIF('SL bán theo ngày'!$A$9:$A$82,"?*"),INDEX('SL bán theo ngày'!M$9:M$82,ROWS($A$11:$A41)),"")</f>
        <v/>
      </c>
      <c r="K41" s="49" t="str">
        <f t="array" aca="1" ref="K41" ca="1">IF(ROWS($A$11:$A41)&lt;=COUNTIF('SL bán theo ngày'!$A$9:$A$82,"?*"),INDEX('SL bán theo ngày'!N$9:N$82,ROWS($A$11:$A41)),"")</f>
        <v/>
      </c>
      <c r="L41" s="49" t="str">
        <f t="array" aca="1" ref="L41" ca="1">IF(ROWS($A$11:$A41)&lt;=COUNTIF('SL bán theo ngày'!$A$9:$A$82,"?*"),INDEX('SL bán theo ngày'!O$9:O$82,ROWS($A$11:$A41)),"")</f>
        <v/>
      </c>
      <c r="M41" s="49" t="str">
        <f t="array" aca="1" ref="M41" ca="1">IF(ROWS($A$11:$A41)&lt;=COUNTIF('SL bán theo ngày'!$A$9:$A$82,"?*"),INDEX('SL bán theo ngày'!P$9:P$82,ROWS($A$11:$A41)),"")</f>
        <v/>
      </c>
      <c r="N41" s="49" t="str">
        <f t="array" aca="1" ref="N41" ca="1">IF(ROWS($A$11:$A41)&lt;=COUNTIF('SL bán theo ngày'!$A$9:$A$82,"?*"),INDEX('SL bán theo ngày'!Q$9:Q$82,ROWS($A$11:$A41)),"")</f>
        <v/>
      </c>
      <c r="O41" s="49" t="str">
        <f t="array" aca="1" ref="O41" ca="1">IF(ROWS($A$11:$A41)&lt;=COUNTIF('SL bán theo ngày'!$A$9:$A$82,"?*"),INDEX('SL bán theo ngày'!R$9:R$82,ROWS($A$11:$A41)),"")</f>
        <v/>
      </c>
      <c r="P41" s="49" t="str">
        <f t="array" aca="1" ref="P41" ca="1">IF(ROWS($A$11:$A41)&lt;=COUNTIF('SL bán theo ngày'!$A$9:$A$82,"?*"),INDEX('SL bán theo ngày'!S$9:S$82,ROWS($A$11:$A41)),"")</f>
        <v/>
      </c>
      <c r="Q41" s="49" t="str">
        <f t="array" aca="1" ref="Q41" ca="1">IF(ROWS($A$11:$A41)&lt;=COUNTIF('SL bán theo ngày'!$A$9:$A$82,"?*"),INDEX('SL bán theo ngày'!T$9:T$82,ROWS($A$11:$A41)),"")</f>
        <v/>
      </c>
      <c r="R41" s="49" t="str">
        <f t="array" aca="1" ref="R41" ca="1">IF(ROWS($A$11:$A41)&lt;=COUNTIF('SL bán theo ngày'!$A$9:$A$82,"?*"),INDEX('SL bán theo ngày'!U$9:U$82,ROWS($A$11:$A41)),"")</f>
        <v/>
      </c>
      <c r="S41" s="49" t="str">
        <f t="array" aca="1" ref="S41" ca="1">IF(ROWS($A$11:$A41)&lt;=COUNTIF('SL bán theo ngày'!$A$9:$A$82,"?*"),INDEX('SL bán theo ngày'!V$9:V$82,ROWS($A$11:$A41)),"")</f>
        <v/>
      </c>
      <c r="T41" s="49" t="str">
        <f t="array" aca="1" ref="T41" ca="1">IF(ROWS($A$11:$A41)&lt;=COUNTIF('SL bán theo ngày'!$A$9:$A$82,"?*"),INDEX('SL bán theo ngày'!W$9:W$82,ROWS($A$11:$A41)),"")</f>
        <v/>
      </c>
      <c r="U41" s="49" t="str">
        <f t="array" aca="1" ref="U41" ca="1">IF(ROWS($A$11:$A41)&lt;=COUNTIF('SL bán theo ngày'!$A$9:$A$82,"?*"),INDEX('SL bán theo ngày'!X$9:X$82,ROWS($A$11:$A41)),"")</f>
        <v/>
      </c>
      <c r="V41" s="49" t="str">
        <f t="array" aca="1" ref="V41" ca="1">IF(ROWS($A$11:$A41)&lt;=COUNTIF('SL bán theo ngày'!$A$9:$A$82,"?*"),INDEX('SL bán theo ngày'!Y$9:Y$82,ROWS($A$11:$A41)),"")</f>
        <v/>
      </c>
      <c r="W41" s="49" t="str">
        <f t="array" aca="1" ref="W41" ca="1">IF(ROWS($A$11:$A41)&lt;=COUNTIF('SL bán theo ngày'!$A$9:$A$82,"?*"),INDEX('SL bán theo ngày'!Z$9:Z$82,ROWS($A$11:$A41)),"")</f>
        <v/>
      </c>
      <c r="X41" s="49" t="str">
        <f t="array" aca="1" ref="X41" ca="1">IF(ROWS($A$11:$A41)&lt;=COUNTIF('SL bán theo ngày'!$A$9:$A$82,"?*"),INDEX('SL bán theo ngày'!AA$9:AA$82,ROWS($A$11:$A41)),"")</f>
        <v/>
      </c>
      <c r="Y41" s="49" t="str">
        <f t="array" aca="1" ref="Y41" ca="1">IF(ROWS($A$11:$A41)&lt;=COUNTIF('SL bán theo ngày'!$A$9:$A$82,"?*"),INDEX('SL bán theo ngày'!AB$9:AB$82,ROWS($A$11:$A41)),"")</f>
        <v/>
      </c>
      <c r="Z41" s="49" t="str">
        <f t="array" aca="1" ref="Z41" ca="1">IF(ROWS($A$11:$A41)&lt;=COUNTIF('SL bán theo ngày'!$A$9:$A$82,"?*"),INDEX('SL bán theo ngày'!AC$9:AC$82,ROWS($A$11:$A41)),"")</f>
        <v/>
      </c>
      <c r="AA41" s="49" t="str">
        <f t="array" aca="1" ref="AA41" ca="1">IF(ROWS($A$11:$A41)&lt;=COUNTIF('SL bán theo ngày'!$A$9:$A$82,"?*"),INDEX('SL bán theo ngày'!AD$9:AD$82,ROWS($A$11:$A41)),"")</f>
        <v/>
      </c>
      <c r="AB41" s="49" t="str">
        <f t="array" aca="1" ref="AB41" ca="1">IF(ROWS($A$11:$A41)&lt;=COUNTIF('SL bán theo ngày'!$A$9:$A$82,"?*"),INDEX('SL bán theo ngày'!AE$9:AE$82,ROWS($A$11:$A41)),"")</f>
        <v/>
      </c>
      <c r="AC41" s="49" t="str">
        <f t="array" aca="1" ref="AC41" ca="1">IF(ROWS($A$11:$A41)&lt;=COUNTIF('SL bán theo ngày'!$A$9:$A$82,"?*"),INDEX('SL bán theo ngày'!AF$9:AF$82,ROWS($A$11:$A41)),"")</f>
        <v/>
      </c>
      <c r="AD41" s="49" t="str">
        <f t="array" aca="1" ref="AD41" ca="1">IF(ROWS($A$11:$A41)&lt;=COUNTIF('SL bán theo ngày'!$A$9:$A$82,"?*"),INDEX('SL bán theo ngày'!AG$9:AG$82,ROWS($A$11:$A41)),"")</f>
        <v/>
      </c>
      <c r="AE41" s="49" t="str">
        <f t="array" aca="1" ref="AE41" ca="1">IF(ROWS($A$11:$A41)&lt;=COUNTIF('SL bán theo ngày'!$A$9:$A$82,"?*"),INDEX('SL bán theo ngày'!AH$9:AH$82,ROWS($A$11:$A41)),"")</f>
        <v/>
      </c>
      <c r="AF41" s="49" t="str">
        <f t="array" aca="1" ref="AF41" ca="1">IF(ROWS($A$11:$A41)&lt;=COUNTIF('SL bán theo ngày'!$A$9:$A$82,"?*"),INDEX('SL bán theo ngày'!AI$9:AI$82,ROWS($A$11:$A41)),"")</f>
        <v/>
      </c>
      <c r="AG41" s="49" t="str">
        <f t="array" aca="1" ref="AG41" ca="1">IF(ROWS($A$11:$A41)&lt;=COUNTIF('SL bán theo ngày'!$A$9:$A$82,"?*"),INDEX('SL bán theo ngày'!C$9:C$82,ROWS($A$11:$A41)),"")</f>
        <v/>
      </c>
      <c r="AH41" s="74" t="str">
        <f t="array" aca="1" ref="AH41" ca="1">IF(ROWS($A$11:$A41)&lt;=COUNTIF('SL bán theo ngày'!$A$9:$A$82,"?*"),INDEX('SL bán theo ngày'!D$9:D$82,ROWS($A$11:$A41)),"")</f>
        <v/>
      </c>
      <c r="AI41" s="49" t="str">
        <f t="array" aca="1" ref="AI41" ca="1">IF(ROWS($A$11:$A41)&lt;=COUNTIF('SL bán theo ngày'!$A$9:$A$82,"?*"),INDEX('SL bán theo ngày'!E$9:E$82,ROWS($A$11:$A41)),"")</f>
        <v/>
      </c>
      <c r="AJ41" s="49" t="str">
        <f t="array" aca="1" ref="AJ41" ca="1">IF(ROWS($A$11:$A41)&lt;=COUNTIF('SL bán theo ngày'!$A$9:$A$82,"?*"),INDEX('SL bán theo ngày'!AJ$9:AJ$82,ROWS($A$11:$A41)),"")</f>
        <v/>
      </c>
      <c r="AK41" s="49" t="str">
        <f t="array" aca="1" ref="AK41" ca="1">IF(ROWS($A$11:$A41)&lt;=COUNTIF('SL bán theo ngày'!$A$9:$A$82,"?*"),INDEX('SL bán theo ngày'!AK$9:AK$82,ROWS($A$11:$A41)),"")</f>
        <v/>
      </c>
    </row>
    <row r="42" spans="1:37" ht="15.75" customHeight="1" x14ac:dyDescent="0.25">
      <c r="A42" s="33" t="str">
        <f t="array" aca="1" ref="A42" ca="1">IF(ROWS($A$11:$A42)&lt;=COUNTIF('SL bán theo ngày'!$A$9:$A$82,"?*"),INDEX('SL bán theo ngày'!A$9:A$82,ROWS($A$11:$A42)),"")</f>
        <v/>
      </c>
      <c r="B42" s="37" t="str">
        <f t="array" aca="1" ref="B42" ca="1">IF(ROWS($A$11:$A42)&lt;=COUNTIF('SL bán theo ngày'!$A$9:$A$82,"?*"),INDEX('SL bán theo ngày'!B$9:B$82,ROWS($A$11:$A42)),"")</f>
        <v/>
      </c>
      <c r="C42" s="79" t="str">
        <f t="array" aca="1" ref="C42" ca="1">IF(ROWS($A$11:$A42)&lt;=COUNTIF('SL bán theo ngày'!$A$9:$A$82,"?*"),INDEX('SL bán theo ngày'!F$9:F$82,ROWS($A$11:$A42)),"")</f>
        <v/>
      </c>
      <c r="D42" s="49" t="str">
        <f t="array" aca="1" ref="D42" ca="1">IF(ROWS($A$11:$A42)&lt;=COUNTIF('SL bán theo ngày'!$A$9:$A$82,"?*"),INDEX('SL bán theo ngày'!G$9:G$82,ROWS($A$11:$A42)),"")</f>
        <v/>
      </c>
      <c r="E42" s="49" t="str">
        <f t="array" aca="1" ref="E42" ca="1">IF(ROWS($A$11:$A42)&lt;=COUNTIF('SL bán theo ngày'!$A$9:$A$82,"?*"),INDEX('SL bán theo ngày'!H$9:H$82,ROWS($A$11:$A42)),"")</f>
        <v/>
      </c>
      <c r="F42" s="49" t="str">
        <f t="array" aca="1" ref="F42" ca="1">IF(ROWS($A$11:$A42)&lt;=COUNTIF('SL bán theo ngày'!$A$9:$A$82,"?*"),INDEX('SL bán theo ngày'!I$9:I$82,ROWS($A$11:$A42)),"")</f>
        <v/>
      </c>
      <c r="G42" s="49" t="str">
        <f t="array" aca="1" ref="G42" ca="1">IF(ROWS($A$11:$A42)&lt;=COUNTIF('SL bán theo ngày'!$A$9:$A$82,"?*"),INDEX('SL bán theo ngày'!J$9:J$82,ROWS($A$11:$A42)),"")</f>
        <v/>
      </c>
      <c r="H42" s="49" t="str">
        <f t="array" aca="1" ref="H42" ca="1">IF(ROWS($A$11:$A42)&lt;=COUNTIF('SL bán theo ngày'!$A$9:$A$82,"?*"),INDEX('SL bán theo ngày'!K$9:K$82,ROWS($A$11:$A42)),"")</f>
        <v/>
      </c>
      <c r="I42" s="49" t="str">
        <f t="array" aca="1" ref="I42" ca="1">IF(ROWS($A$11:$A42)&lt;=COUNTIF('SL bán theo ngày'!$A$9:$A$82,"?*"),INDEX('SL bán theo ngày'!L$9:L$82,ROWS($A$11:$A42)),"")</f>
        <v/>
      </c>
      <c r="J42" s="49" t="str">
        <f t="array" aca="1" ref="J42" ca="1">IF(ROWS($A$11:$A42)&lt;=COUNTIF('SL bán theo ngày'!$A$9:$A$82,"?*"),INDEX('SL bán theo ngày'!M$9:M$82,ROWS($A$11:$A42)),"")</f>
        <v/>
      </c>
      <c r="K42" s="49" t="str">
        <f t="array" aca="1" ref="K42" ca="1">IF(ROWS($A$11:$A42)&lt;=COUNTIF('SL bán theo ngày'!$A$9:$A$82,"?*"),INDEX('SL bán theo ngày'!N$9:N$82,ROWS($A$11:$A42)),"")</f>
        <v/>
      </c>
      <c r="L42" s="49" t="str">
        <f t="array" aca="1" ref="L42" ca="1">IF(ROWS($A$11:$A42)&lt;=COUNTIF('SL bán theo ngày'!$A$9:$A$82,"?*"),INDEX('SL bán theo ngày'!O$9:O$82,ROWS($A$11:$A42)),"")</f>
        <v/>
      </c>
      <c r="M42" s="49" t="str">
        <f t="array" aca="1" ref="M42" ca="1">IF(ROWS($A$11:$A42)&lt;=COUNTIF('SL bán theo ngày'!$A$9:$A$82,"?*"),INDEX('SL bán theo ngày'!P$9:P$82,ROWS($A$11:$A42)),"")</f>
        <v/>
      </c>
      <c r="N42" s="49" t="str">
        <f t="array" aca="1" ref="N42" ca="1">IF(ROWS($A$11:$A42)&lt;=COUNTIF('SL bán theo ngày'!$A$9:$A$82,"?*"),INDEX('SL bán theo ngày'!Q$9:Q$82,ROWS($A$11:$A42)),"")</f>
        <v/>
      </c>
      <c r="O42" s="49" t="str">
        <f t="array" aca="1" ref="O42" ca="1">IF(ROWS($A$11:$A42)&lt;=COUNTIF('SL bán theo ngày'!$A$9:$A$82,"?*"),INDEX('SL bán theo ngày'!R$9:R$82,ROWS($A$11:$A42)),"")</f>
        <v/>
      </c>
      <c r="P42" s="49" t="str">
        <f t="array" aca="1" ref="P42" ca="1">IF(ROWS($A$11:$A42)&lt;=COUNTIF('SL bán theo ngày'!$A$9:$A$82,"?*"),INDEX('SL bán theo ngày'!S$9:S$82,ROWS($A$11:$A42)),"")</f>
        <v/>
      </c>
      <c r="Q42" s="49" t="str">
        <f t="array" aca="1" ref="Q42" ca="1">IF(ROWS($A$11:$A42)&lt;=COUNTIF('SL bán theo ngày'!$A$9:$A$82,"?*"),INDEX('SL bán theo ngày'!T$9:T$82,ROWS($A$11:$A42)),"")</f>
        <v/>
      </c>
      <c r="R42" s="49" t="str">
        <f t="array" aca="1" ref="R42" ca="1">IF(ROWS($A$11:$A42)&lt;=COUNTIF('SL bán theo ngày'!$A$9:$A$82,"?*"),INDEX('SL bán theo ngày'!U$9:U$82,ROWS($A$11:$A42)),"")</f>
        <v/>
      </c>
      <c r="S42" s="49" t="str">
        <f t="array" aca="1" ref="S42" ca="1">IF(ROWS($A$11:$A42)&lt;=COUNTIF('SL bán theo ngày'!$A$9:$A$82,"?*"),INDEX('SL bán theo ngày'!V$9:V$82,ROWS($A$11:$A42)),"")</f>
        <v/>
      </c>
      <c r="T42" s="49" t="str">
        <f t="array" aca="1" ref="T42" ca="1">IF(ROWS($A$11:$A42)&lt;=COUNTIF('SL bán theo ngày'!$A$9:$A$82,"?*"),INDEX('SL bán theo ngày'!W$9:W$82,ROWS($A$11:$A42)),"")</f>
        <v/>
      </c>
      <c r="U42" s="49" t="str">
        <f t="array" aca="1" ref="U42" ca="1">IF(ROWS($A$11:$A42)&lt;=COUNTIF('SL bán theo ngày'!$A$9:$A$82,"?*"),INDEX('SL bán theo ngày'!X$9:X$82,ROWS($A$11:$A42)),"")</f>
        <v/>
      </c>
      <c r="V42" s="49" t="str">
        <f t="array" aca="1" ref="V42" ca="1">IF(ROWS($A$11:$A42)&lt;=COUNTIF('SL bán theo ngày'!$A$9:$A$82,"?*"),INDEX('SL bán theo ngày'!Y$9:Y$82,ROWS($A$11:$A42)),"")</f>
        <v/>
      </c>
      <c r="W42" s="49" t="str">
        <f t="array" aca="1" ref="W42" ca="1">IF(ROWS($A$11:$A42)&lt;=COUNTIF('SL bán theo ngày'!$A$9:$A$82,"?*"),INDEX('SL bán theo ngày'!Z$9:Z$82,ROWS($A$11:$A42)),"")</f>
        <v/>
      </c>
      <c r="X42" s="49" t="str">
        <f t="array" aca="1" ref="X42" ca="1">IF(ROWS($A$11:$A42)&lt;=COUNTIF('SL bán theo ngày'!$A$9:$A$82,"?*"),INDEX('SL bán theo ngày'!AA$9:AA$82,ROWS($A$11:$A42)),"")</f>
        <v/>
      </c>
      <c r="Y42" s="49" t="str">
        <f t="array" aca="1" ref="Y42" ca="1">IF(ROWS($A$11:$A42)&lt;=COUNTIF('SL bán theo ngày'!$A$9:$A$82,"?*"),INDEX('SL bán theo ngày'!AB$9:AB$82,ROWS($A$11:$A42)),"")</f>
        <v/>
      </c>
      <c r="Z42" s="49" t="str">
        <f t="array" aca="1" ref="Z42" ca="1">IF(ROWS($A$11:$A42)&lt;=COUNTIF('SL bán theo ngày'!$A$9:$A$82,"?*"),INDEX('SL bán theo ngày'!AC$9:AC$82,ROWS($A$11:$A42)),"")</f>
        <v/>
      </c>
      <c r="AA42" s="49" t="str">
        <f t="array" aca="1" ref="AA42" ca="1">IF(ROWS($A$11:$A42)&lt;=COUNTIF('SL bán theo ngày'!$A$9:$A$82,"?*"),INDEX('SL bán theo ngày'!AD$9:AD$82,ROWS($A$11:$A42)),"")</f>
        <v/>
      </c>
      <c r="AB42" s="49" t="str">
        <f t="array" aca="1" ref="AB42" ca="1">IF(ROWS($A$11:$A42)&lt;=COUNTIF('SL bán theo ngày'!$A$9:$A$82,"?*"),INDEX('SL bán theo ngày'!AE$9:AE$82,ROWS($A$11:$A42)),"")</f>
        <v/>
      </c>
      <c r="AC42" s="49" t="str">
        <f t="array" aca="1" ref="AC42" ca="1">IF(ROWS($A$11:$A42)&lt;=COUNTIF('SL bán theo ngày'!$A$9:$A$82,"?*"),INDEX('SL bán theo ngày'!AF$9:AF$82,ROWS($A$11:$A42)),"")</f>
        <v/>
      </c>
      <c r="AD42" s="49" t="str">
        <f t="array" aca="1" ref="AD42" ca="1">IF(ROWS($A$11:$A42)&lt;=COUNTIF('SL bán theo ngày'!$A$9:$A$82,"?*"),INDEX('SL bán theo ngày'!AG$9:AG$82,ROWS($A$11:$A42)),"")</f>
        <v/>
      </c>
      <c r="AE42" s="49" t="str">
        <f t="array" aca="1" ref="AE42" ca="1">IF(ROWS($A$11:$A42)&lt;=COUNTIF('SL bán theo ngày'!$A$9:$A$82,"?*"),INDEX('SL bán theo ngày'!AH$9:AH$82,ROWS($A$11:$A42)),"")</f>
        <v/>
      </c>
      <c r="AF42" s="49" t="str">
        <f t="array" aca="1" ref="AF42" ca="1">IF(ROWS($A$11:$A42)&lt;=COUNTIF('SL bán theo ngày'!$A$9:$A$82,"?*"),INDEX('SL bán theo ngày'!AI$9:AI$82,ROWS($A$11:$A42)),"")</f>
        <v/>
      </c>
      <c r="AG42" s="49" t="str">
        <f t="array" aca="1" ref="AG42" ca="1">IF(ROWS($A$11:$A42)&lt;=COUNTIF('SL bán theo ngày'!$A$9:$A$82,"?*"),INDEX('SL bán theo ngày'!C$9:C$82,ROWS($A$11:$A42)),"")</f>
        <v/>
      </c>
      <c r="AH42" s="74" t="str">
        <f t="array" aca="1" ref="AH42" ca="1">IF(ROWS($A$11:$A42)&lt;=COUNTIF('SL bán theo ngày'!$A$9:$A$82,"?*"),INDEX('SL bán theo ngày'!D$9:D$82,ROWS($A$11:$A42)),"")</f>
        <v/>
      </c>
      <c r="AI42" s="49" t="str">
        <f t="array" aca="1" ref="AI42" ca="1">IF(ROWS($A$11:$A42)&lt;=COUNTIF('SL bán theo ngày'!$A$9:$A$82,"?*"),INDEX('SL bán theo ngày'!E$9:E$82,ROWS($A$11:$A42)),"")</f>
        <v/>
      </c>
      <c r="AJ42" s="49" t="str">
        <f t="array" aca="1" ref="AJ42" ca="1">IF(ROWS($A$11:$A42)&lt;=COUNTIF('SL bán theo ngày'!$A$9:$A$82,"?*"),INDEX('SL bán theo ngày'!AJ$9:AJ$82,ROWS($A$11:$A42)),"")</f>
        <v/>
      </c>
      <c r="AK42" s="49" t="str">
        <f t="array" aca="1" ref="AK42" ca="1">IF(ROWS($A$11:$A42)&lt;=COUNTIF('SL bán theo ngày'!$A$9:$A$82,"?*"),INDEX('SL bán theo ngày'!AK$9:AK$82,ROWS($A$11:$A42)),"")</f>
        <v/>
      </c>
    </row>
    <row r="43" spans="1:37" ht="15.75" customHeight="1" x14ac:dyDescent="0.25">
      <c r="A43" s="33" t="str">
        <f t="array" aca="1" ref="A43" ca="1">IF(ROWS($A$11:$A43)&lt;=COUNTIF('SL bán theo ngày'!$A$9:$A$82,"?*"),INDEX('SL bán theo ngày'!A$9:A$82,ROWS($A$11:$A43)),"")</f>
        <v/>
      </c>
      <c r="B43" s="37" t="str">
        <f t="array" aca="1" ref="B43" ca="1">IF(ROWS($A$11:$A43)&lt;=COUNTIF('SL bán theo ngày'!$A$9:$A$82,"?*"),INDEX('SL bán theo ngày'!B$9:B$82,ROWS($A$11:$A43)),"")</f>
        <v/>
      </c>
      <c r="C43" s="79" t="str">
        <f t="array" aca="1" ref="C43" ca="1">IF(ROWS($A$11:$A43)&lt;=COUNTIF('SL bán theo ngày'!$A$9:$A$82,"?*"),INDEX('SL bán theo ngày'!F$9:F$82,ROWS($A$11:$A43)),"")</f>
        <v/>
      </c>
      <c r="D43" s="49" t="str">
        <f t="array" aca="1" ref="D43" ca="1">IF(ROWS($A$11:$A43)&lt;=COUNTIF('SL bán theo ngày'!$A$9:$A$82,"?*"),INDEX('SL bán theo ngày'!G$9:G$82,ROWS($A$11:$A43)),"")</f>
        <v/>
      </c>
      <c r="E43" s="49" t="str">
        <f t="array" aca="1" ref="E43" ca="1">IF(ROWS($A$11:$A43)&lt;=COUNTIF('SL bán theo ngày'!$A$9:$A$82,"?*"),INDEX('SL bán theo ngày'!H$9:H$82,ROWS($A$11:$A43)),"")</f>
        <v/>
      </c>
      <c r="F43" s="49" t="str">
        <f t="array" aca="1" ref="F43" ca="1">IF(ROWS($A$11:$A43)&lt;=COUNTIF('SL bán theo ngày'!$A$9:$A$82,"?*"),INDEX('SL bán theo ngày'!I$9:I$82,ROWS($A$11:$A43)),"")</f>
        <v/>
      </c>
      <c r="G43" s="49" t="str">
        <f t="array" aca="1" ref="G43" ca="1">IF(ROWS($A$11:$A43)&lt;=COUNTIF('SL bán theo ngày'!$A$9:$A$82,"?*"),INDEX('SL bán theo ngày'!J$9:J$82,ROWS($A$11:$A43)),"")</f>
        <v/>
      </c>
      <c r="H43" s="49" t="str">
        <f t="array" aca="1" ref="H43" ca="1">IF(ROWS($A$11:$A43)&lt;=COUNTIF('SL bán theo ngày'!$A$9:$A$82,"?*"),INDEX('SL bán theo ngày'!K$9:K$82,ROWS($A$11:$A43)),"")</f>
        <v/>
      </c>
      <c r="I43" s="49" t="str">
        <f t="array" aca="1" ref="I43" ca="1">IF(ROWS($A$11:$A43)&lt;=COUNTIF('SL bán theo ngày'!$A$9:$A$82,"?*"),INDEX('SL bán theo ngày'!L$9:L$82,ROWS($A$11:$A43)),"")</f>
        <v/>
      </c>
      <c r="J43" s="49" t="str">
        <f t="array" aca="1" ref="J43" ca="1">IF(ROWS($A$11:$A43)&lt;=COUNTIF('SL bán theo ngày'!$A$9:$A$82,"?*"),INDEX('SL bán theo ngày'!M$9:M$82,ROWS($A$11:$A43)),"")</f>
        <v/>
      </c>
      <c r="K43" s="49" t="str">
        <f t="array" aca="1" ref="K43" ca="1">IF(ROWS($A$11:$A43)&lt;=COUNTIF('SL bán theo ngày'!$A$9:$A$82,"?*"),INDEX('SL bán theo ngày'!N$9:N$82,ROWS($A$11:$A43)),"")</f>
        <v/>
      </c>
      <c r="L43" s="49" t="str">
        <f t="array" aca="1" ref="L43" ca="1">IF(ROWS($A$11:$A43)&lt;=COUNTIF('SL bán theo ngày'!$A$9:$A$82,"?*"),INDEX('SL bán theo ngày'!O$9:O$82,ROWS($A$11:$A43)),"")</f>
        <v/>
      </c>
      <c r="M43" s="49" t="str">
        <f t="array" aca="1" ref="M43" ca="1">IF(ROWS($A$11:$A43)&lt;=COUNTIF('SL bán theo ngày'!$A$9:$A$82,"?*"),INDEX('SL bán theo ngày'!P$9:P$82,ROWS($A$11:$A43)),"")</f>
        <v/>
      </c>
      <c r="N43" s="49" t="str">
        <f t="array" aca="1" ref="N43" ca="1">IF(ROWS($A$11:$A43)&lt;=COUNTIF('SL bán theo ngày'!$A$9:$A$82,"?*"),INDEX('SL bán theo ngày'!Q$9:Q$82,ROWS($A$11:$A43)),"")</f>
        <v/>
      </c>
      <c r="O43" s="49" t="str">
        <f t="array" aca="1" ref="O43" ca="1">IF(ROWS($A$11:$A43)&lt;=COUNTIF('SL bán theo ngày'!$A$9:$A$82,"?*"),INDEX('SL bán theo ngày'!R$9:R$82,ROWS($A$11:$A43)),"")</f>
        <v/>
      </c>
      <c r="P43" s="49" t="str">
        <f t="array" aca="1" ref="P43" ca="1">IF(ROWS($A$11:$A43)&lt;=COUNTIF('SL bán theo ngày'!$A$9:$A$82,"?*"),INDEX('SL bán theo ngày'!S$9:S$82,ROWS($A$11:$A43)),"")</f>
        <v/>
      </c>
      <c r="Q43" s="49" t="str">
        <f t="array" aca="1" ref="Q43" ca="1">IF(ROWS($A$11:$A43)&lt;=COUNTIF('SL bán theo ngày'!$A$9:$A$82,"?*"),INDEX('SL bán theo ngày'!T$9:T$82,ROWS($A$11:$A43)),"")</f>
        <v/>
      </c>
      <c r="R43" s="49" t="str">
        <f t="array" aca="1" ref="R43" ca="1">IF(ROWS($A$11:$A43)&lt;=COUNTIF('SL bán theo ngày'!$A$9:$A$82,"?*"),INDEX('SL bán theo ngày'!U$9:U$82,ROWS($A$11:$A43)),"")</f>
        <v/>
      </c>
      <c r="S43" s="49" t="str">
        <f t="array" aca="1" ref="S43" ca="1">IF(ROWS($A$11:$A43)&lt;=COUNTIF('SL bán theo ngày'!$A$9:$A$82,"?*"),INDEX('SL bán theo ngày'!V$9:V$82,ROWS($A$11:$A43)),"")</f>
        <v/>
      </c>
      <c r="T43" s="49" t="str">
        <f t="array" aca="1" ref="T43" ca="1">IF(ROWS($A$11:$A43)&lt;=COUNTIF('SL bán theo ngày'!$A$9:$A$82,"?*"),INDEX('SL bán theo ngày'!W$9:W$82,ROWS($A$11:$A43)),"")</f>
        <v/>
      </c>
      <c r="U43" s="49" t="str">
        <f t="array" aca="1" ref="U43" ca="1">IF(ROWS($A$11:$A43)&lt;=COUNTIF('SL bán theo ngày'!$A$9:$A$82,"?*"),INDEX('SL bán theo ngày'!X$9:X$82,ROWS($A$11:$A43)),"")</f>
        <v/>
      </c>
      <c r="V43" s="49" t="str">
        <f t="array" aca="1" ref="V43" ca="1">IF(ROWS($A$11:$A43)&lt;=COUNTIF('SL bán theo ngày'!$A$9:$A$82,"?*"),INDEX('SL bán theo ngày'!Y$9:Y$82,ROWS($A$11:$A43)),"")</f>
        <v/>
      </c>
      <c r="W43" s="49" t="str">
        <f t="array" aca="1" ref="W43" ca="1">IF(ROWS($A$11:$A43)&lt;=COUNTIF('SL bán theo ngày'!$A$9:$A$82,"?*"),INDEX('SL bán theo ngày'!Z$9:Z$82,ROWS($A$11:$A43)),"")</f>
        <v/>
      </c>
      <c r="X43" s="49" t="str">
        <f t="array" aca="1" ref="X43" ca="1">IF(ROWS($A$11:$A43)&lt;=COUNTIF('SL bán theo ngày'!$A$9:$A$82,"?*"),INDEX('SL bán theo ngày'!AA$9:AA$82,ROWS($A$11:$A43)),"")</f>
        <v/>
      </c>
      <c r="Y43" s="49" t="str">
        <f t="array" aca="1" ref="Y43" ca="1">IF(ROWS($A$11:$A43)&lt;=COUNTIF('SL bán theo ngày'!$A$9:$A$82,"?*"),INDEX('SL bán theo ngày'!AB$9:AB$82,ROWS($A$11:$A43)),"")</f>
        <v/>
      </c>
      <c r="Z43" s="49" t="str">
        <f t="array" aca="1" ref="Z43" ca="1">IF(ROWS($A$11:$A43)&lt;=COUNTIF('SL bán theo ngày'!$A$9:$A$82,"?*"),INDEX('SL bán theo ngày'!AC$9:AC$82,ROWS($A$11:$A43)),"")</f>
        <v/>
      </c>
      <c r="AA43" s="49" t="str">
        <f t="array" aca="1" ref="AA43" ca="1">IF(ROWS($A$11:$A43)&lt;=COUNTIF('SL bán theo ngày'!$A$9:$A$82,"?*"),INDEX('SL bán theo ngày'!AD$9:AD$82,ROWS($A$11:$A43)),"")</f>
        <v/>
      </c>
      <c r="AB43" s="49" t="str">
        <f t="array" aca="1" ref="AB43" ca="1">IF(ROWS($A$11:$A43)&lt;=COUNTIF('SL bán theo ngày'!$A$9:$A$82,"?*"),INDEX('SL bán theo ngày'!AE$9:AE$82,ROWS($A$11:$A43)),"")</f>
        <v/>
      </c>
      <c r="AC43" s="49" t="str">
        <f t="array" aca="1" ref="AC43" ca="1">IF(ROWS($A$11:$A43)&lt;=COUNTIF('SL bán theo ngày'!$A$9:$A$82,"?*"),INDEX('SL bán theo ngày'!AF$9:AF$82,ROWS($A$11:$A43)),"")</f>
        <v/>
      </c>
      <c r="AD43" s="49" t="str">
        <f t="array" aca="1" ref="AD43" ca="1">IF(ROWS($A$11:$A43)&lt;=COUNTIF('SL bán theo ngày'!$A$9:$A$82,"?*"),INDEX('SL bán theo ngày'!AG$9:AG$82,ROWS($A$11:$A43)),"")</f>
        <v/>
      </c>
      <c r="AE43" s="49" t="str">
        <f t="array" aca="1" ref="AE43" ca="1">IF(ROWS($A$11:$A43)&lt;=COUNTIF('SL bán theo ngày'!$A$9:$A$82,"?*"),INDEX('SL bán theo ngày'!AH$9:AH$82,ROWS($A$11:$A43)),"")</f>
        <v/>
      </c>
      <c r="AF43" s="49" t="str">
        <f t="array" aca="1" ref="AF43" ca="1">IF(ROWS($A$11:$A43)&lt;=COUNTIF('SL bán theo ngày'!$A$9:$A$82,"?*"),INDEX('SL bán theo ngày'!AI$9:AI$82,ROWS($A$11:$A43)),"")</f>
        <v/>
      </c>
      <c r="AG43" s="49" t="str">
        <f t="array" aca="1" ref="AG43" ca="1">IF(ROWS($A$11:$A43)&lt;=COUNTIF('SL bán theo ngày'!$A$9:$A$82,"?*"),INDEX('SL bán theo ngày'!C$9:C$82,ROWS($A$11:$A43)),"")</f>
        <v/>
      </c>
      <c r="AH43" s="74" t="str">
        <f t="array" aca="1" ref="AH43" ca="1">IF(ROWS($A$11:$A43)&lt;=COUNTIF('SL bán theo ngày'!$A$9:$A$82,"?*"),INDEX('SL bán theo ngày'!D$9:D$82,ROWS($A$11:$A43)),"")</f>
        <v/>
      </c>
      <c r="AI43" s="49" t="str">
        <f t="array" aca="1" ref="AI43" ca="1">IF(ROWS($A$11:$A43)&lt;=COUNTIF('SL bán theo ngày'!$A$9:$A$82,"?*"),INDEX('SL bán theo ngày'!E$9:E$82,ROWS($A$11:$A43)),"")</f>
        <v/>
      </c>
      <c r="AJ43" s="49" t="str">
        <f t="array" aca="1" ref="AJ43" ca="1">IF(ROWS($A$11:$A43)&lt;=COUNTIF('SL bán theo ngày'!$A$9:$A$82,"?*"),INDEX('SL bán theo ngày'!AJ$9:AJ$82,ROWS($A$11:$A43)),"")</f>
        <v/>
      </c>
      <c r="AK43" s="49" t="str">
        <f t="array" aca="1" ref="AK43" ca="1">IF(ROWS($A$11:$A43)&lt;=COUNTIF('SL bán theo ngày'!$A$9:$A$82,"?*"),INDEX('SL bán theo ngày'!AK$9:AK$82,ROWS($A$11:$A43)),"")</f>
        <v/>
      </c>
    </row>
    <row r="44" spans="1:37" ht="15.75" customHeight="1" x14ac:dyDescent="0.25">
      <c r="A44" s="33" t="str">
        <f t="array" aca="1" ref="A44" ca="1">IF(ROWS($A$11:$A44)&lt;=COUNTIF('SL bán theo ngày'!$A$9:$A$82,"?*"),INDEX('SL bán theo ngày'!A$9:A$82,ROWS($A$11:$A44)),"")</f>
        <v/>
      </c>
      <c r="B44" s="37" t="str">
        <f t="array" aca="1" ref="B44" ca="1">IF(ROWS($A$11:$A44)&lt;=COUNTIF('SL bán theo ngày'!$A$9:$A$82,"?*"),INDEX('SL bán theo ngày'!B$9:B$82,ROWS($A$11:$A44)),"")</f>
        <v/>
      </c>
      <c r="C44" s="79" t="str">
        <f t="array" aca="1" ref="C44" ca="1">IF(ROWS($A$11:$A44)&lt;=COUNTIF('SL bán theo ngày'!$A$9:$A$82,"?*"),INDEX('SL bán theo ngày'!F$9:F$82,ROWS($A$11:$A44)),"")</f>
        <v/>
      </c>
      <c r="D44" s="49" t="str">
        <f t="array" aca="1" ref="D44" ca="1">IF(ROWS($A$11:$A44)&lt;=COUNTIF('SL bán theo ngày'!$A$9:$A$82,"?*"),INDEX('SL bán theo ngày'!G$9:G$82,ROWS($A$11:$A44)),"")</f>
        <v/>
      </c>
      <c r="E44" s="49" t="str">
        <f t="array" aca="1" ref="E44" ca="1">IF(ROWS($A$11:$A44)&lt;=COUNTIF('SL bán theo ngày'!$A$9:$A$82,"?*"),INDEX('SL bán theo ngày'!H$9:H$82,ROWS($A$11:$A44)),"")</f>
        <v/>
      </c>
      <c r="F44" s="49" t="str">
        <f t="array" aca="1" ref="F44" ca="1">IF(ROWS($A$11:$A44)&lt;=COUNTIF('SL bán theo ngày'!$A$9:$A$82,"?*"),INDEX('SL bán theo ngày'!I$9:I$82,ROWS($A$11:$A44)),"")</f>
        <v/>
      </c>
      <c r="G44" s="49" t="str">
        <f t="array" aca="1" ref="G44" ca="1">IF(ROWS($A$11:$A44)&lt;=COUNTIF('SL bán theo ngày'!$A$9:$A$82,"?*"),INDEX('SL bán theo ngày'!J$9:J$82,ROWS($A$11:$A44)),"")</f>
        <v/>
      </c>
      <c r="H44" s="49" t="str">
        <f t="array" aca="1" ref="H44" ca="1">IF(ROWS($A$11:$A44)&lt;=COUNTIF('SL bán theo ngày'!$A$9:$A$82,"?*"),INDEX('SL bán theo ngày'!K$9:K$82,ROWS($A$11:$A44)),"")</f>
        <v/>
      </c>
      <c r="I44" s="49" t="str">
        <f t="array" aca="1" ref="I44" ca="1">IF(ROWS($A$11:$A44)&lt;=COUNTIF('SL bán theo ngày'!$A$9:$A$82,"?*"),INDEX('SL bán theo ngày'!L$9:L$82,ROWS($A$11:$A44)),"")</f>
        <v/>
      </c>
      <c r="J44" s="49" t="str">
        <f t="array" aca="1" ref="J44" ca="1">IF(ROWS($A$11:$A44)&lt;=COUNTIF('SL bán theo ngày'!$A$9:$A$82,"?*"),INDEX('SL bán theo ngày'!M$9:M$82,ROWS($A$11:$A44)),"")</f>
        <v/>
      </c>
      <c r="K44" s="49" t="str">
        <f t="array" aca="1" ref="K44" ca="1">IF(ROWS($A$11:$A44)&lt;=COUNTIF('SL bán theo ngày'!$A$9:$A$82,"?*"),INDEX('SL bán theo ngày'!N$9:N$82,ROWS($A$11:$A44)),"")</f>
        <v/>
      </c>
      <c r="L44" s="49" t="str">
        <f t="array" aca="1" ref="L44" ca="1">IF(ROWS($A$11:$A44)&lt;=COUNTIF('SL bán theo ngày'!$A$9:$A$82,"?*"),INDEX('SL bán theo ngày'!O$9:O$82,ROWS($A$11:$A44)),"")</f>
        <v/>
      </c>
      <c r="M44" s="49" t="str">
        <f t="array" aca="1" ref="M44" ca="1">IF(ROWS($A$11:$A44)&lt;=COUNTIF('SL bán theo ngày'!$A$9:$A$82,"?*"),INDEX('SL bán theo ngày'!P$9:P$82,ROWS($A$11:$A44)),"")</f>
        <v/>
      </c>
      <c r="N44" s="49" t="str">
        <f t="array" aca="1" ref="N44" ca="1">IF(ROWS($A$11:$A44)&lt;=COUNTIF('SL bán theo ngày'!$A$9:$A$82,"?*"),INDEX('SL bán theo ngày'!Q$9:Q$82,ROWS($A$11:$A44)),"")</f>
        <v/>
      </c>
      <c r="O44" s="49" t="str">
        <f t="array" aca="1" ref="O44" ca="1">IF(ROWS($A$11:$A44)&lt;=COUNTIF('SL bán theo ngày'!$A$9:$A$82,"?*"),INDEX('SL bán theo ngày'!R$9:R$82,ROWS($A$11:$A44)),"")</f>
        <v/>
      </c>
      <c r="P44" s="49" t="str">
        <f t="array" aca="1" ref="P44" ca="1">IF(ROWS($A$11:$A44)&lt;=COUNTIF('SL bán theo ngày'!$A$9:$A$82,"?*"),INDEX('SL bán theo ngày'!S$9:S$82,ROWS($A$11:$A44)),"")</f>
        <v/>
      </c>
      <c r="Q44" s="49" t="str">
        <f t="array" aca="1" ref="Q44" ca="1">IF(ROWS($A$11:$A44)&lt;=COUNTIF('SL bán theo ngày'!$A$9:$A$82,"?*"),INDEX('SL bán theo ngày'!T$9:T$82,ROWS($A$11:$A44)),"")</f>
        <v/>
      </c>
      <c r="R44" s="49" t="str">
        <f t="array" aca="1" ref="R44" ca="1">IF(ROWS($A$11:$A44)&lt;=COUNTIF('SL bán theo ngày'!$A$9:$A$82,"?*"),INDEX('SL bán theo ngày'!U$9:U$82,ROWS($A$11:$A44)),"")</f>
        <v/>
      </c>
      <c r="S44" s="49" t="str">
        <f t="array" aca="1" ref="S44" ca="1">IF(ROWS($A$11:$A44)&lt;=COUNTIF('SL bán theo ngày'!$A$9:$A$82,"?*"),INDEX('SL bán theo ngày'!V$9:V$82,ROWS($A$11:$A44)),"")</f>
        <v/>
      </c>
      <c r="T44" s="49" t="str">
        <f t="array" aca="1" ref="T44" ca="1">IF(ROWS($A$11:$A44)&lt;=COUNTIF('SL bán theo ngày'!$A$9:$A$82,"?*"),INDEX('SL bán theo ngày'!W$9:W$82,ROWS($A$11:$A44)),"")</f>
        <v/>
      </c>
      <c r="U44" s="49" t="str">
        <f t="array" aca="1" ref="U44" ca="1">IF(ROWS($A$11:$A44)&lt;=COUNTIF('SL bán theo ngày'!$A$9:$A$82,"?*"),INDEX('SL bán theo ngày'!X$9:X$82,ROWS($A$11:$A44)),"")</f>
        <v/>
      </c>
      <c r="V44" s="49" t="str">
        <f t="array" aca="1" ref="V44" ca="1">IF(ROWS($A$11:$A44)&lt;=COUNTIF('SL bán theo ngày'!$A$9:$A$82,"?*"),INDEX('SL bán theo ngày'!Y$9:Y$82,ROWS($A$11:$A44)),"")</f>
        <v/>
      </c>
      <c r="W44" s="49" t="str">
        <f t="array" aca="1" ref="W44" ca="1">IF(ROWS($A$11:$A44)&lt;=COUNTIF('SL bán theo ngày'!$A$9:$A$82,"?*"),INDEX('SL bán theo ngày'!Z$9:Z$82,ROWS($A$11:$A44)),"")</f>
        <v/>
      </c>
      <c r="X44" s="49" t="str">
        <f t="array" aca="1" ref="X44" ca="1">IF(ROWS($A$11:$A44)&lt;=COUNTIF('SL bán theo ngày'!$A$9:$A$82,"?*"),INDEX('SL bán theo ngày'!AA$9:AA$82,ROWS($A$11:$A44)),"")</f>
        <v/>
      </c>
      <c r="Y44" s="49" t="str">
        <f t="array" aca="1" ref="Y44" ca="1">IF(ROWS($A$11:$A44)&lt;=COUNTIF('SL bán theo ngày'!$A$9:$A$82,"?*"),INDEX('SL bán theo ngày'!AB$9:AB$82,ROWS($A$11:$A44)),"")</f>
        <v/>
      </c>
      <c r="Z44" s="49" t="str">
        <f t="array" aca="1" ref="Z44" ca="1">IF(ROWS($A$11:$A44)&lt;=COUNTIF('SL bán theo ngày'!$A$9:$A$82,"?*"),INDEX('SL bán theo ngày'!AC$9:AC$82,ROWS($A$11:$A44)),"")</f>
        <v/>
      </c>
      <c r="AA44" s="49" t="str">
        <f t="array" aca="1" ref="AA44" ca="1">IF(ROWS($A$11:$A44)&lt;=COUNTIF('SL bán theo ngày'!$A$9:$A$82,"?*"),INDEX('SL bán theo ngày'!AD$9:AD$82,ROWS($A$11:$A44)),"")</f>
        <v/>
      </c>
      <c r="AB44" s="49" t="str">
        <f t="array" aca="1" ref="AB44" ca="1">IF(ROWS($A$11:$A44)&lt;=COUNTIF('SL bán theo ngày'!$A$9:$A$82,"?*"),INDEX('SL bán theo ngày'!AE$9:AE$82,ROWS($A$11:$A44)),"")</f>
        <v/>
      </c>
      <c r="AC44" s="49" t="str">
        <f t="array" aca="1" ref="AC44" ca="1">IF(ROWS($A$11:$A44)&lt;=COUNTIF('SL bán theo ngày'!$A$9:$A$82,"?*"),INDEX('SL bán theo ngày'!AF$9:AF$82,ROWS($A$11:$A44)),"")</f>
        <v/>
      </c>
      <c r="AD44" s="49" t="str">
        <f t="array" aca="1" ref="AD44" ca="1">IF(ROWS($A$11:$A44)&lt;=COUNTIF('SL bán theo ngày'!$A$9:$A$82,"?*"),INDEX('SL bán theo ngày'!AG$9:AG$82,ROWS($A$11:$A44)),"")</f>
        <v/>
      </c>
      <c r="AE44" s="49" t="str">
        <f t="array" aca="1" ref="AE44" ca="1">IF(ROWS($A$11:$A44)&lt;=COUNTIF('SL bán theo ngày'!$A$9:$A$82,"?*"),INDEX('SL bán theo ngày'!AH$9:AH$82,ROWS($A$11:$A44)),"")</f>
        <v/>
      </c>
      <c r="AF44" s="49" t="str">
        <f t="array" aca="1" ref="AF44" ca="1">IF(ROWS($A$11:$A44)&lt;=COUNTIF('SL bán theo ngày'!$A$9:$A$82,"?*"),INDEX('SL bán theo ngày'!AI$9:AI$82,ROWS($A$11:$A44)),"")</f>
        <v/>
      </c>
      <c r="AG44" s="49" t="str">
        <f t="array" aca="1" ref="AG44" ca="1">IF(ROWS($A$11:$A44)&lt;=COUNTIF('SL bán theo ngày'!$A$9:$A$82,"?*"),INDEX('SL bán theo ngày'!C$9:C$82,ROWS($A$11:$A44)),"")</f>
        <v/>
      </c>
      <c r="AH44" s="74" t="str">
        <f t="array" aca="1" ref="AH44" ca="1">IF(ROWS($A$11:$A44)&lt;=COUNTIF('SL bán theo ngày'!$A$9:$A$82,"?*"),INDEX('SL bán theo ngày'!D$9:D$82,ROWS($A$11:$A44)),"")</f>
        <v/>
      </c>
      <c r="AI44" s="49" t="str">
        <f t="array" aca="1" ref="AI44" ca="1">IF(ROWS($A$11:$A44)&lt;=COUNTIF('SL bán theo ngày'!$A$9:$A$82,"?*"),INDEX('SL bán theo ngày'!E$9:E$82,ROWS($A$11:$A44)),"")</f>
        <v/>
      </c>
      <c r="AJ44" s="49" t="str">
        <f t="array" aca="1" ref="AJ44" ca="1">IF(ROWS($A$11:$A44)&lt;=COUNTIF('SL bán theo ngày'!$A$9:$A$82,"?*"),INDEX('SL bán theo ngày'!AJ$9:AJ$82,ROWS($A$11:$A44)),"")</f>
        <v/>
      </c>
      <c r="AK44" s="49" t="str">
        <f t="array" aca="1" ref="AK44" ca="1">IF(ROWS($A$11:$A44)&lt;=COUNTIF('SL bán theo ngày'!$A$9:$A$82,"?*"),INDEX('SL bán theo ngày'!AK$9:AK$82,ROWS($A$11:$A44)),"")</f>
        <v/>
      </c>
    </row>
    <row r="45" spans="1:37" ht="15.75" customHeight="1" x14ac:dyDescent="0.25">
      <c r="A45" s="33" t="str">
        <f t="array" aca="1" ref="A45" ca="1">IF(ROWS($A$11:$A45)&lt;=COUNTIF('SL bán theo ngày'!$A$9:$A$82,"?*"),INDEX('SL bán theo ngày'!A$9:A$82,ROWS($A$11:$A45)),"")</f>
        <v/>
      </c>
      <c r="B45" s="37" t="str">
        <f t="array" aca="1" ref="B45" ca="1">IF(ROWS($A$11:$A45)&lt;=COUNTIF('SL bán theo ngày'!$A$9:$A$82,"?*"),INDEX('SL bán theo ngày'!B$9:B$82,ROWS($A$11:$A45)),"")</f>
        <v/>
      </c>
      <c r="C45" s="79" t="str">
        <f t="array" aca="1" ref="C45" ca="1">IF(ROWS($A$11:$A45)&lt;=COUNTIF('SL bán theo ngày'!$A$9:$A$82,"?*"),INDEX('SL bán theo ngày'!F$9:F$82,ROWS($A$11:$A45)),"")</f>
        <v/>
      </c>
      <c r="D45" s="49" t="str">
        <f t="array" aca="1" ref="D45" ca="1">IF(ROWS($A$11:$A45)&lt;=COUNTIF('SL bán theo ngày'!$A$9:$A$82,"?*"),INDEX('SL bán theo ngày'!G$9:G$82,ROWS($A$11:$A45)),"")</f>
        <v/>
      </c>
      <c r="E45" s="49" t="str">
        <f t="array" aca="1" ref="E45" ca="1">IF(ROWS($A$11:$A45)&lt;=COUNTIF('SL bán theo ngày'!$A$9:$A$82,"?*"),INDEX('SL bán theo ngày'!H$9:H$82,ROWS($A$11:$A45)),"")</f>
        <v/>
      </c>
      <c r="F45" s="49" t="str">
        <f t="array" aca="1" ref="F45" ca="1">IF(ROWS($A$11:$A45)&lt;=COUNTIF('SL bán theo ngày'!$A$9:$A$82,"?*"),INDEX('SL bán theo ngày'!I$9:I$82,ROWS($A$11:$A45)),"")</f>
        <v/>
      </c>
      <c r="G45" s="49" t="str">
        <f t="array" aca="1" ref="G45" ca="1">IF(ROWS($A$11:$A45)&lt;=COUNTIF('SL bán theo ngày'!$A$9:$A$82,"?*"),INDEX('SL bán theo ngày'!J$9:J$82,ROWS($A$11:$A45)),"")</f>
        <v/>
      </c>
      <c r="H45" s="49" t="str">
        <f t="array" aca="1" ref="H45" ca="1">IF(ROWS($A$11:$A45)&lt;=COUNTIF('SL bán theo ngày'!$A$9:$A$82,"?*"),INDEX('SL bán theo ngày'!K$9:K$82,ROWS($A$11:$A45)),"")</f>
        <v/>
      </c>
      <c r="I45" s="49" t="str">
        <f t="array" aca="1" ref="I45" ca="1">IF(ROWS($A$11:$A45)&lt;=COUNTIF('SL bán theo ngày'!$A$9:$A$82,"?*"),INDEX('SL bán theo ngày'!L$9:L$82,ROWS($A$11:$A45)),"")</f>
        <v/>
      </c>
      <c r="J45" s="49" t="str">
        <f t="array" aca="1" ref="J45" ca="1">IF(ROWS($A$11:$A45)&lt;=COUNTIF('SL bán theo ngày'!$A$9:$A$82,"?*"),INDEX('SL bán theo ngày'!M$9:M$82,ROWS($A$11:$A45)),"")</f>
        <v/>
      </c>
      <c r="K45" s="49" t="str">
        <f t="array" aca="1" ref="K45" ca="1">IF(ROWS($A$11:$A45)&lt;=COUNTIF('SL bán theo ngày'!$A$9:$A$82,"?*"),INDEX('SL bán theo ngày'!N$9:N$82,ROWS($A$11:$A45)),"")</f>
        <v/>
      </c>
      <c r="L45" s="49" t="str">
        <f t="array" aca="1" ref="L45" ca="1">IF(ROWS($A$11:$A45)&lt;=COUNTIF('SL bán theo ngày'!$A$9:$A$82,"?*"),INDEX('SL bán theo ngày'!O$9:O$82,ROWS($A$11:$A45)),"")</f>
        <v/>
      </c>
      <c r="M45" s="49" t="str">
        <f t="array" aca="1" ref="M45" ca="1">IF(ROWS($A$11:$A45)&lt;=COUNTIF('SL bán theo ngày'!$A$9:$A$82,"?*"),INDEX('SL bán theo ngày'!P$9:P$82,ROWS($A$11:$A45)),"")</f>
        <v/>
      </c>
      <c r="N45" s="49" t="str">
        <f t="array" aca="1" ref="N45" ca="1">IF(ROWS($A$11:$A45)&lt;=COUNTIF('SL bán theo ngày'!$A$9:$A$82,"?*"),INDEX('SL bán theo ngày'!Q$9:Q$82,ROWS($A$11:$A45)),"")</f>
        <v/>
      </c>
      <c r="O45" s="49" t="str">
        <f t="array" aca="1" ref="O45" ca="1">IF(ROWS($A$11:$A45)&lt;=COUNTIF('SL bán theo ngày'!$A$9:$A$82,"?*"),INDEX('SL bán theo ngày'!R$9:R$82,ROWS($A$11:$A45)),"")</f>
        <v/>
      </c>
      <c r="P45" s="49" t="str">
        <f t="array" aca="1" ref="P45" ca="1">IF(ROWS($A$11:$A45)&lt;=COUNTIF('SL bán theo ngày'!$A$9:$A$82,"?*"),INDEX('SL bán theo ngày'!S$9:S$82,ROWS($A$11:$A45)),"")</f>
        <v/>
      </c>
      <c r="Q45" s="49" t="str">
        <f t="array" aca="1" ref="Q45" ca="1">IF(ROWS($A$11:$A45)&lt;=COUNTIF('SL bán theo ngày'!$A$9:$A$82,"?*"),INDEX('SL bán theo ngày'!T$9:T$82,ROWS($A$11:$A45)),"")</f>
        <v/>
      </c>
      <c r="R45" s="49" t="str">
        <f t="array" aca="1" ref="R45" ca="1">IF(ROWS($A$11:$A45)&lt;=COUNTIF('SL bán theo ngày'!$A$9:$A$82,"?*"),INDEX('SL bán theo ngày'!U$9:U$82,ROWS($A$11:$A45)),"")</f>
        <v/>
      </c>
      <c r="S45" s="49" t="str">
        <f t="array" aca="1" ref="S45" ca="1">IF(ROWS($A$11:$A45)&lt;=COUNTIF('SL bán theo ngày'!$A$9:$A$82,"?*"),INDEX('SL bán theo ngày'!V$9:V$82,ROWS($A$11:$A45)),"")</f>
        <v/>
      </c>
      <c r="T45" s="49" t="str">
        <f t="array" aca="1" ref="T45" ca="1">IF(ROWS($A$11:$A45)&lt;=COUNTIF('SL bán theo ngày'!$A$9:$A$82,"?*"),INDEX('SL bán theo ngày'!W$9:W$82,ROWS($A$11:$A45)),"")</f>
        <v/>
      </c>
      <c r="U45" s="49" t="str">
        <f t="array" aca="1" ref="U45" ca="1">IF(ROWS($A$11:$A45)&lt;=COUNTIF('SL bán theo ngày'!$A$9:$A$82,"?*"),INDEX('SL bán theo ngày'!X$9:X$82,ROWS($A$11:$A45)),"")</f>
        <v/>
      </c>
      <c r="V45" s="49" t="str">
        <f t="array" aca="1" ref="V45" ca="1">IF(ROWS($A$11:$A45)&lt;=COUNTIF('SL bán theo ngày'!$A$9:$A$82,"?*"),INDEX('SL bán theo ngày'!Y$9:Y$82,ROWS($A$11:$A45)),"")</f>
        <v/>
      </c>
      <c r="W45" s="49" t="str">
        <f t="array" aca="1" ref="W45" ca="1">IF(ROWS($A$11:$A45)&lt;=COUNTIF('SL bán theo ngày'!$A$9:$A$82,"?*"),INDEX('SL bán theo ngày'!Z$9:Z$82,ROWS($A$11:$A45)),"")</f>
        <v/>
      </c>
      <c r="X45" s="49" t="str">
        <f t="array" aca="1" ref="X45" ca="1">IF(ROWS($A$11:$A45)&lt;=COUNTIF('SL bán theo ngày'!$A$9:$A$82,"?*"),INDEX('SL bán theo ngày'!AA$9:AA$82,ROWS($A$11:$A45)),"")</f>
        <v/>
      </c>
      <c r="Y45" s="49" t="str">
        <f t="array" aca="1" ref="Y45" ca="1">IF(ROWS($A$11:$A45)&lt;=COUNTIF('SL bán theo ngày'!$A$9:$A$82,"?*"),INDEX('SL bán theo ngày'!AB$9:AB$82,ROWS($A$11:$A45)),"")</f>
        <v/>
      </c>
      <c r="Z45" s="49" t="str">
        <f t="array" aca="1" ref="Z45" ca="1">IF(ROWS($A$11:$A45)&lt;=COUNTIF('SL bán theo ngày'!$A$9:$A$82,"?*"),INDEX('SL bán theo ngày'!AC$9:AC$82,ROWS($A$11:$A45)),"")</f>
        <v/>
      </c>
      <c r="AA45" s="49" t="str">
        <f t="array" aca="1" ref="AA45" ca="1">IF(ROWS($A$11:$A45)&lt;=COUNTIF('SL bán theo ngày'!$A$9:$A$82,"?*"),INDEX('SL bán theo ngày'!AD$9:AD$82,ROWS($A$11:$A45)),"")</f>
        <v/>
      </c>
      <c r="AB45" s="49" t="str">
        <f t="array" aca="1" ref="AB45" ca="1">IF(ROWS($A$11:$A45)&lt;=COUNTIF('SL bán theo ngày'!$A$9:$A$82,"?*"),INDEX('SL bán theo ngày'!AE$9:AE$82,ROWS($A$11:$A45)),"")</f>
        <v/>
      </c>
      <c r="AC45" s="49" t="str">
        <f t="array" aca="1" ref="AC45" ca="1">IF(ROWS($A$11:$A45)&lt;=COUNTIF('SL bán theo ngày'!$A$9:$A$82,"?*"),INDEX('SL bán theo ngày'!AF$9:AF$82,ROWS($A$11:$A45)),"")</f>
        <v/>
      </c>
      <c r="AD45" s="49" t="str">
        <f t="array" aca="1" ref="AD45" ca="1">IF(ROWS($A$11:$A45)&lt;=COUNTIF('SL bán theo ngày'!$A$9:$A$82,"?*"),INDEX('SL bán theo ngày'!AG$9:AG$82,ROWS($A$11:$A45)),"")</f>
        <v/>
      </c>
      <c r="AE45" s="49" t="str">
        <f t="array" aca="1" ref="AE45" ca="1">IF(ROWS($A$11:$A45)&lt;=COUNTIF('SL bán theo ngày'!$A$9:$A$82,"?*"),INDEX('SL bán theo ngày'!AH$9:AH$82,ROWS($A$11:$A45)),"")</f>
        <v/>
      </c>
      <c r="AF45" s="49" t="str">
        <f t="array" aca="1" ref="AF45" ca="1">IF(ROWS($A$11:$A45)&lt;=COUNTIF('SL bán theo ngày'!$A$9:$A$82,"?*"),INDEX('SL bán theo ngày'!AI$9:AI$82,ROWS($A$11:$A45)),"")</f>
        <v/>
      </c>
      <c r="AG45" s="49" t="str">
        <f t="array" aca="1" ref="AG45" ca="1">IF(ROWS($A$11:$A45)&lt;=COUNTIF('SL bán theo ngày'!$A$9:$A$82,"?*"),INDEX('SL bán theo ngày'!C$9:C$82,ROWS($A$11:$A45)),"")</f>
        <v/>
      </c>
      <c r="AH45" s="74" t="str">
        <f t="array" aca="1" ref="AH45" ca="1">IF(ROWS($A$11:$A45)&lt;=COUNTIF('SL bán theo ngày'!$A$9:$A$82,"?*"),INDEX('SL bán theo ngày'!D$9:D$82,ROWS($A$11:$A45)),"")</f>
        <v/>
      </c>
      <c r="AI45" s="49" t="str">
        <f t="array" aca="1" ref="AI45" ca="1">IF(ROWS($A$11:$A45)&lt;=COUNTIF('SL bán theo ngày'!$A$9:$A$82,"?*"),INDEX('SL bán theo ngày'!E$9:E$82,ROWS($A$11:$A45)),"")</f>
        <v/>
      </c>
      <c r="AJ45" s="49" t="str">
        <f t="array" aca="1" ref="AJ45" ca="1">IF(ROWS($A$11:$A45)&lt;=COUNTIF('SL bán theo ngày'!$A$9:$A$82,"?*"),INDEX('SL bán theo ngày'!AJ$9:AJ$82,ROWS($A$11:$A45)),"")</f>
        <v/>
      </c>
      <c r="AK45" s="49" t="str">
        <f t="array" aca="1" ref="AK45" ca="1">IF(ROWS($A$11:$A45)&lt;=COUNTIF('SL bán theo ngày'!$A$9:$A$82,"?*"),INDEX('SL bán theo ngày'!AK$9:AK$82,ROWS($A$11:$A45)),"")</f>
        <v/>
      </c>
    </row>
    <row r="46" spans="1:37" ht="15.75" customHeight="1" x14ac:dyDescent="0.25">
      <c r="A46" s="33" t="str">
        <f t="array" aca="1" ref="A46" ca="1">IF(ROWS($A$11:$A46)&lt;=COUNTIF('SL bán theo ngày'!$A$9:$A$82,"?*"),INDEX('SL bán theo ngày'!A$9:A$82,ROWS($A$11:$A46)),"")</f>
        <v/>
      </c>
      <c r="B46" s="37" t="str">
        <f t="array" aca="1" ref="B46" ca="1">IF(ROWS($A$11:$A46)&lt;=COUNTIF('SL bán theo ngày'!$A$9:$A$82,"?*"),INDEX('SL bán theo ngày'!B$9:B$82,ROWS($A$11:$A46)),"")</f>
        <v/>
      </c>
      <c r="C46" s="79" t="str">
        <f t="array" aca="1" ref="C46" ca="1">IF(ROWS($A$11:$A46)&lt;=COUNTIF('SL bán theo ngày'!$A$9:$A$82,"?*"),INDEX('SL bán theo ngày'!F$9:F$82,ROWS($A$11:$A46)),"")</f>
        <v/>
      </c>
      <c r="D46" s="49" t="str">
        <f t="array" aca="1" ref="D46" ca="1">IF(ROWS($A$11:$A46)&lt;=COUNTIF('SL bán theo ngày'!$A$9:$A$82,"?*"),INDEX('SL bán theo ngày'!G$9:G$82,ROWS($A$11:$A46)),"")</f>
        <v/>
      </c>
      <c r="E46" s="49" t="str">
        <f t="array" aca="1" ref="E46" ca="1">IF(ROWS($A$11:$A46)&lt;=COUNTIF('SL bán theo ngày'!$A$9:$A$82,"?*"),INDEX('SL bán theo ngày'!H$9:H$82,ROWS($A$11:$A46)),"")</f>
        <v/>
      </c>
      <c r="F46" s="49" t="str">
        <f t="array" aca="1" ref="F46" ca="1">IF(ROWS($A$11:$A46)&lt;=COUNTIF('SL bán theo ngày'!$A$9:$A$82,"?*"),INDEX('SL bán theo ngày'!I$9:I$82,ROWS($A$11:$A46)),"")</f>
        <v/>
      </c>
      <c r="G46" s="49" t="str">
        <f t="array" aca="1" ref="G46" ca="1">IF(ROWS($A$11:$A46)&lt;=COUNTIF('SL bán theo ngày'!$A$9:$A$82,"?*"),INDEX('SL bán theo ngày'!J$9:J$82,ROWS($A$11:$A46)),"")</f>
        <v/>
      </c>
      <c r="H46" s="49" t="str">
        <f t="array" aca="1" ref="H46" ca="1">IF(ROWS($A$11:$A46)&lt;=COUNTIF('SL bán theo ngày'!$A$9:$A$82,"?*"),INDEX('SL bán theo ngày'!K$9:K$82,ROWS($A$11:$A46)),"")</f>
        <v/>
      </c>
      <c r="I46" s="49" t="str">
        <f t="array" aca="1" ref="I46" ca="1">IF(ROWS($A$11:$A46)&lt;=COUNTIF('SL bán theo ngày'!$A$9:$A$82,"?*"),INDEX('SL bán theo ngày'!L$9:L$82,ROWS($A$11:$A46)),"")</f>
        <v/>
      </c>
      <c r="J46" s="49" t="str">
        <f t="array" aca="1" ref="J46" ca="1">IF(ROWS($A$11:$A46)&lt;=COUNTIF('SL bán theo ngày'!$A$9:$A$82,"?*"),INDEX('SL bán theo ngày'!M$9:M$82,ROWS($A$11:$A46)),"")</f>
        <v/>
      </c>
      <c r="K46" s="49" t="str">
        <f t="array" aca="1" ref="K46" ca="1">IF(ROWS($A$11:$A46)&lt;=COUNTIF('SL bán theo ngày'!$A$9:$A$82,"?*"),INDEX('SL bán theo ngày'!N$9:N$82,ROWS($A$11:$A46)),"")</f>
        <v/>
      </c>
      <c r="L46" s="49" t="str">
        <f t="array" aca="1" ref="L46" ca="1">IF(ROWS($A$11:$A46)&lt;=COUNTIF('SL bán theo ngày'!$A$9:$A$82,"?*"),INDEX('SL bán theo ngày'!O$9:O$82,ROWS($A$11:$A46)),"")</f>
        <v/>
      </c>
      <c r="M46" s="49" t="str">
        <f t="array" aca="1" ref="M46" ca="1">IF(ROWS($A$11:$A46)&lt;=COUNTIF('SL bán theo ngày'!$A$9:$A$82,"?*"),INDEX('SL bán theo ngày'!P$9:P$82,ROWS($A$11:$A46)),"")</f>
        <v/>
      </c>
      <c r="N46" s="49" t="str">
        <f t="array" aca="1" ref="N46" ca="1">IF(ROWS($A$11:$A46)&lt;=COUNTIF('SL bán theo ngày'!$A$9:$A$82,"?*"),INDEX('SL bán theo ngày'!Q$9:Q$82,ROWS($A$11:$A46)),"")</f>
        <v/>
      </c>
      <c r="O46" s="49" t="str">
        <f t="array" aca="1" ref="O46" ca="1">IF(ROWS($A$11:$A46)&lt;=COUNTIF('SL bán theo ngày'!$A$9:$A$82,"?*"),INDEX('SL bán theo ngày'!R$9:R$82,ROWS($A$11:$A46)),"")</f>
        <v/>
      </c>
      <c r="P46" s="49" t="str">
        <f t="array" aca="1" ref="P46" ca="1">IF(ROWS($A$11:$A46)&lt;=COUNTIF('SL bán theo ngày'!$A$9:$A$82,"?*"),INDEX('SL bán theo ngày'!S$9:S$82,ROWS($A$11:$A46)),"")</f>
        <v/>
      </c>
      <c r="Q46" s="49" t="str">
        <f t="array" aca="1" ref="Q46" ca="1">IF(ROWS($A$11:$A46)&lt;=COUNTIF('SL bán theo ngày'!$A$9:$A$82,"?*"),INDEX('SL bán theo ngày'!T$9:T$82,ROWS($A$11:$A46)),"")</f>
        <v/>
      </c>
      <c r="R46" s="49" t="str">
        <f t="array" aca="1" ref="R46" ca="1">IF(ROWS($A$11:$A46)&lt;=COUNTIF('SL bán theo ngày'!$A$9:$A$82,"?*"),INDEX('SL bán theo ngày'!U$9:U$82,ROWS($A$11:$A46)),"")</f>
        <v/>
      </c>
      <c r="S46" s="49" t="str">
        <f t="array" aca="1" ref="S46" ca="1">IF(ROWS($A$11:$A46)&lt;=COUNTIF('SL bán theo ngày'!$A$9:$A$82,"?*"),INDEX('SL bán theo ngày'!V$9:V$82,ROWS($A$11:$A46)),"")</f>
        <v/>
      </c>
      <c r="T46" s="49" t="str">
        <f t="array" aca="1" ref="T46" ca="1">IF(ROWS($A$11:$A46)&lt;=COUNTIF('SL bán theo ngày'!$A$9:$A$82,"?*"),INDEX('SL bán theo ngày'!W$9:W$82,ROWS($A$11:$A46)),"")</f>
        <v/>
      </c>
      <c r="U46" s="49" t="str">
        <f t="array" aca="1" ref="U46" ca="1">IF(ROWS($A$11:$A46)&lt;=COUNTIF('SL bán theo ngày'!$A$9:$A$82,"?*"),INDEX('SL bán theo ngày'!X$9:X$82,ROWS($A$11:$A46)),"")</f>
        <v/>
      </c>
      <c r="V46" s="49" t="str">
        <f t="array" aca="1" ref="V46" ca="1">IF(ROWS($A$11:$A46)&lt;=COUNTIF('SL bán theo ngày'!$A$9:$A$82,"?*"),INDEX('SL bán theo ngày'!Y$9:Y$82,ROWS($A$11:$A46)),"")</f>
        <v/>
      </c>
      <c r="W46" s="49" t="str">
        <f t="array" aca="1" ref="W46" ca="1">IF(ROWS($A$11:$A46)&lt;=COUNTIF('SL bán theo ngày'!$A$9:$A$82,"?*"),INDEX('SL bán theo ngày'!Z$9:Z$82,ROWS($A$11:$A46)),"")</f>
        <v/>
      </c>
      <c r="X46" s="49" t="str">
        <f t="array" aca="1" ref="X46" ca="1">IF(ROWS($A$11:$A46)&lt;=COUNTIF('SL bán theo ngày'!$A$9:$A$82,"?*"),INDEX('SL bán theo ngày'!AA$9:AA$82,ROWS($A$11:$A46)),"")</f>
        <v/>
      </c>
      <c r="Y46" s="49" t="str">
        <f t="array" aca="1" ref="Y46" ca="1">IF(ROWS($A$11:$A46)&lt;=COUNTIF('SL bán theo ngày'!$A$9:$A$82,"?*"),INDEX('SL bán theo ngày'!AB$9:AB$82,ROWS($A$11:$A46)),"")</f>
        <v/>
      </c>
      <c r="Z46" s="49" t="str">
        <f t="array" aca="1" ref="Z46" ca="1">IF(ROWS($A$11:$A46)&lt;=COUNTIF('SL bán theo ngày'!$A$9:$A$82,"?*"),INDEX('SL bán theo ngày'!AC$9:AC$82,ROWS($A$11:$A46)),"")</f>
        <v/>
      </c>
      <c r="AA46" s="49" t="str">
        <f t="array" aca="1" ref="AA46" ca="1">IF(ROWS($A$11:$A46)&lt;=COUNTIF('SL bán theo ngày'!$A$9:$A$82,"?*"),INDEX('SL bán theo ngày'!AD$9:AD$82,ROWS($A$11:$A46)),"")</f>
        <v/>
      </c>
      <c r="AB46" s="49" t="str">
        <f t="array" aca="1" ref="AB46" ca="1">IF(ROWS($A$11:$A46)&lt;=COUNTIF('SL bán theo ngày'!$A$9:$A$82,"?*"),INDEX('SL bán theo ngày'!AE$9:AE$82,ROWS($A$11:$A46)),"")</f>
        <v/>
      </c>
      <c r="AC46" s="49" t="str">
        <f t="array" aca="1" ref="AC46" ca="1">IF(ROWS($A$11:$A46)&lt;=COUNTIF('SL bán theo ngày'!$A$9:$A$82,"?*"),INDEX('SL bán theo ngày'!AF$9:AF$82,ROWS($A$11:$A46)),"")</f>
        <v/>
      </c>
      <c r="AD46" s="49" t="str">
        <f t="array" aca="1" ref="AD46" ca="1">IF(ROWS($A$11:$A46)&lt;=COUNTIF('SL bán theo ngày'!$A$9:$A$82,"?*"),INDEX('SL bán theo ngày'!AG$9:AG$82,ROWS($A$11:$A46)),"")</f>
        <v/>
      </c>
      <c r="AE46" s="49" t="str">
        <f t="array" aca="1" ref="AE46" ca="1">IF(ROWS($A$11:$A46)&lt;=COUNTIF('SL bán theo ngày'!$A$9:$A$82,"?*"),INDEX('SL bán theo ngày'!AH$9:AH$82,ROWS($A$11:$A46)),"")</f>
        <v/>
      </c>
      <c r="AF46" s="49" t="str">
        <f t="array" aca="1" ref="AF46" ca="1">IF(ROWS($A$11:$A46)&lt;=COUNTIF('SL bán theo ngày'!$A$9:$A$82,"?*"),INDEX('SL bán theo ngày'!AI$9:AI$82,ROWS($A$11:$A46)),"")</f>
        <v/>
      </c>
      <c r="AG46" s="49" t="str">
        <f t="array" aca="1" ref="AG46" ca="1">IF(ROWS($A$11:$A46)&lt;=COUNTIF('SL bán theo ngày'!$A$9:$A$82,"?*"),INDEX('SL bán theo ngày'!C$9:C$82,ROWS($A$11:$A46)),"")</f>
        <v/>
      </c>
      <c r="AH46" s="74" t="str">
        <f t="array" aca="1" ref="AH46" ca="1">IF(ROWS($A$11:$A46)&lt;=COUNTIF('SL bán theo ngày'!$A$9:$A$82,"?*"),INDEX('SL bán theo ngày'!D$9:D$82,ROWS($A$11:$A46)),"")</f>
        <v/>
      </c>
      <c r="AI46" s="49" t="str">
        <f t="array" aca="1" ref="AI46" ca="1">IF(ROWS($A$11:$A46)&lt;=COUNTIF('SL bán theo ngày'!$A$9:$A$82,"?*"),INDEX('SL bán theo ngày'!E$9:E$82,ROWS($A$11:$A46)),"")</f>
        <v/>
      </c>
      <c r="AJ46" s="49" t="str">
        <f t="array" aca="1" ref="AJ46" ca="1">IF(ROWS($A$11:$A46)&lt;=COUNTIF('SL bán theo ngày'!$A$9:$A$82,"?*"),INDEX('SL bán theo ngày'!AJ$9:AJ$82,ROWS($A$11:$A46)),"")</f>
        <v/>
      </c>
      <c r="AK46" s="49" t="str">
        <f t="array" aca="1" ref="AK46" ca="1">IF(ROWS($A$11:$A46)&lt;=COUNTIF('SL bán theo ngày'!$A$9:$A$82,"?*"),INDEX('SL bán theo ngày'!AK$9:AK$82,ROWS($A$11:$A46)),"")</f>
        <v/>
      </c>
    </row>
    <row r="47" spans="1:37" ht="15.75" customHeight="1" x14ac:dyDescent="0.25">
      <c r="A47" s="33" t="str">
        <f t="array" aca="1" ref="A47" ca="1">IF(ROWS($A$11:$A47)&lt;=COUNTIF('SL bán theo ngày'!$A$9:$A$82,"?*"),INDEX('SL bán theo ngày'!A$9:A$82,ROWS($A$11:$A47)),"")</f>
        <v/>
      </c>
      <c r="B47" s="37" t="str">
        <f t="array" aca="1" ref="B47" ca="1">IF(ROWS($A$11:$A47)&lt;=COUNTIF('SL bán theo ngày'!$A$9:$A$82,"?*"),INDEX('SL bán theo ngày'!B$9:B$82,ROWS($A$11:$A47)),"")</f>
        <v/>
      </c>
      <c r="C47" s="79" t="str">
        <f t="array" aca="1" ref="C47" ca="1">IF(ROWS($A$11:$A47)&lt;=COUNTIF('SL bán theo ngày'!$A$9:$A$82,"?*"),INDEX('SL bán theo ngày'!F$9:F$82,ROWS($A$11:$A47)),"")</f>
        <v/>
      </c>
      <c r="D47" s="49" t="str">
        <f t="array" aca="1" ref="D47" ca="1">IF(ROWS($A$11:$A47)&lt;=COUNTIF('SL bán theo ngày'!$A$9:$A$82,"?*"),INDEX('SL bán theo ngày'!G$9:G$82,ROWS($A$11:$A47)),"")</f>
        <v/>
      </c>
      <c r="E47" s="49" t="str">
        <f t="array" aca="1" ref="E47" ca="1">IF(ROWS($A$11:$A47)&lt;=COUNTIF('SL bán theo ngày'!$A$9:$A$82,"?*"),INDEX('SL bán theo ngày'!H$9:H$82,ROWS($A$11:$A47)),"")</f>
        <v/>
      </c>
      <c r="F47" s="49" t="str">
        <f t="array" aca="1" ref="F47" ca="1">IF(ROWS($A$11:$A47)&lt;=COUNTIF('SL bán theo ngày'!$A$9:$A$82,"?*"),INDEX('SL bán theo ngày'!I$9:I$82,ROWS($A$11:$A47)),"")</f>
        <v/>
      </c>
      <c r="G47" s="49" t="str">
        <f t="array" aca="1" ref="G47" ca="1">IF(ROWS($A$11:$A47)&lt;=COUNTIF('SL bán theo ngày'!$A$9:$A$82,"?*"),INDEX('SL bán theo ngày'!J$9:J$82,ROWS($A$11:$A47)),"")</f>
        <v/>
      </c>
      <c r="H47" s="49" t="str">
        <f t="array" aca="1" ref="H47" ca="1">IF(ROWS($A$11:$A47)&lt;=COUNTIF('SL bán theo ngày'!$A$9:$A$82,"?*"),INDEX('SL bán theo ngày'!K$9:K$82,ROWS($A$11:$A47)),"")</f>
        <v/>
      </c>
      <c r="I47" s="49" t="str">
        <f t="array" aca="1" ref="I47" ca="1">IF(ROWS($A$11:$A47)&lt;=COUNTIF('SL bán theo ngày'!$A$9:$A$82,"?*"),INDEX('SL bán theo ngày'!L$9:L$82,ROWS($A$11:$A47)),"")</f>
        <v/>
      </c>
      <c r="J47" s="49" t="str">
        <f t="array" aca="1" ref="J47" ca="1">IF(ROWS($A$11:$A47)&lt;=COUNTIF('SL bán theo ngày'!$A$9:$A$82,"?*"),INDEX('SL bán theo ngày'!M$9:M$82,ROWS($A$11:$A47)),"")</f>
        <v/>
      </c>
      <c r="K47" s="49" t="str">
        <f t="array" aca="1" ref="K47" ca="1">IF(ROWS($A$11:$A47)&lt;=COUNTIF('SL bán theo ngày'!$A$9:$A$82,"?*"),INDEX('SL bán theo ngày'!N$9:N$82,ROWS($A$11:$A47)),"")</f>
        <v/>
      </c>
      <c r="L47" s="49" t="str">
        <f t="array" aca="1" ref="L47" ca="1">IF(ROWS($A$11:$A47)&lt;=COUNTIF('SL bán theo ngày'!$A$9:$A$82,"?*"),INDEX('SL bán theo ngày'!O$9:O$82,ROWS($A$11:$A47)),"")</f>
        <v/>
      </c>
      <c r="M47" s="49" t="str">
        <f t="array" aca="1" ref="M47" ca="1">IF(ROWS($A$11:$A47)&lt;=COUNTIF('SL bán theo ngày'!$A$9:$A$82,"?*"),INDEX('SL bán theo ngày'!P$9:P$82,ROWS($A$11:$A47)),"")</f>
        <v/>
      </c>
      <c r="N47" s="49" t="str">
        <f t="array" aca="1" ref="N47" ca="1">IF(ROWS($A$11:$A47)&lt;=COUNTIF('SL bán theo ngày'!$A$9:$A$82,"?*"),INDEX('SL bán theo ngày'!Q$9:Q$82,ROWS($A$11:$A47)),"")</f>
        <v/>
      </c>
      <c r="O47" s="49" t="str">
        <f t="array" aca="1" ref="O47" ca="1">IF(ROWS($A$11:$A47)&lt;=COUNTIF('SL bán theo ngày'!$A$9:$A$82,"?*"),INDEX('SL bán theo ngày'!R$9:R$82,ROWS($A$11:$A47)),"")</f>
        <v/>
      </c>
      <c r="P47" s="49" t="str">
        <f t="array" aca="1" ref="P47" ca="1">IF(ROWS($A$11:$A47)&lt;=COUNTIF('SL bán theo ngày'!$A$9:$A$82,"?*"),INDEX('SL bán theo ngày'!S$9:S$82,ROWS($A$11:$A47)),"")</f>
        <v/>
      </c>
      <c r="Q47" s="49" t="str">
        <f t="array" aca="1" ref="Q47" ca="1">IF(ROWS($A$11:$A47)&lt;=COUNTIF('SL bán theo ngày'!$A$9:$A$82,"?*"),INDEX('SL bán theo ngày'!T$9:T$82,ROWS($A$11:$A47)),"")</f>
        <v/>
      </c>
      <c r="R47" s="49" t="str">
        <f t="array" aca="1" ref="R47" ca="1">IF(ROWS($A$11:$A47)&lt;=COUNTIF('SL bán theo ngày'!$A$9:$A$82,"?*"),INDEX('SL bán theo ngày'!U$9:U$82,ROWS($A$11:$A47)),"")</f>
        <v/>
      </c>
      <c r="S47" s="49" t="str">
        <f t="array" aca="1" ref="S47" ca="1">IF(ROWS($A$11:$A47)&lt;=COUNTIF('SL bán theo ngày'!$A$9:$A$82,"?*"),INDEX('SL bán theo ngày'!V$9:V$82,ROWS($A$11:$A47)),"")</f>
        <v/>
      </c>
      <c r="T47" s="49" t="str">
        <f t="array" aca="1" ref="T47" ca="1">IF(ROWS($A$11:$A47)&lt;=COUNTIF('SL bán theo ngày'!$A$9:$A$82,"?*"),INDEX('SL bán theo ngày'!W$9:W$82,ROWS($A$11:$A47)),"")</f>
        <v/>
      </c>
      <c r="U47" s="49" t="str">
        <f t="array" aca="1" ref="U47" ca="1">IF(ROWS($A$11:$A47)&lt;=COUNTIF('SL bán theo ngày'!$A$9:$A$82,"?*"),INDEX('SL bán theo ngày'!X$9:X$82,ROWS($A$11:$A47)),"")</f>
        <v/>
      </c>
      <c r="V47" s="49" t="str">
        <f t="array" aca="1" ref="V47" ca="1">IF(ROWS($A$11:$A47)&lt;=COUNTIF('SL bán theo ngày'!$A$9:$A$82,"?*"),INDEX('SL bán theo ngày'!Y$9:Y$82,ROWS($A$11:$A47)),"")</f>
        <v/>
      </c>
      <c r="W47" s="49" t="str">
        <f t="array" aca="1" ref="W47" ca="1">IF(ROWS($A$11:$A47)&lt;=COUNTIF('SL bán theo ngày'!$A$9:$A$82,"?*"),INDEX('SL bán theo ngày'!Z$9:Z$82,ROWS($A$11:$A47)),"")</f>
        <v/>
      </c>
      <c r="X47" s="49" t="str">
        <f t="array" aca="1" ref="X47" ca="1">IF(ROWS($A$11:$A47)&lt;=COUNTIF('SL bán theo ngày'!$A$9:$A$82,"?*"),INDEX('SL bán theo ngày'!AA$9:AA$82,ROWS($A$11:$A47)),"")</f>
        <v/>
      </c>
      <c r="Y47" s="49" t="str">
        <f t="array" aca="1" ref="Y47" ca="1">IF(ROWS($A$11:$A47)&lt;=COUNTIF('SL bán theo ngày'!$A$9:$A$82,"?*"),INDEX('SL bán theo ngày'!AB$9:AB$82,ROWS($A$11:$A47)),"")</f>
        <v/>
      </c>
      <c r="Z47" s="49" t="str">
        <f t="array" aca="1" ref="Z47" ca="1">IF(ROWS($A$11:$A47)&lt;=COUNTIF('SL bán theo ngày'!$A$9:$A$82,"?*"),INDEX('SL bán theo ngày'!AC$9:AC$82,ROWS($A$11:$A47)),"")</f>
        <v/>
      </c>
      <c r="AA47" s="49" t="str">
        <f t="array" aca="1" ref="AA47" ca="1">IF(ROWS($A$11:$A47)&lt;=COUNTIF('SL bán theo ngày'!$A$9:$A$82,"?*"),INDEX('SL bán theo ngày'!AD$9:AD$82,ROWS($A$11:$A47)),"")</f>
        <v/>
      </c>
      <c r="AB47" s="49" t="str">
        <f t="array" aca="1" ref="AB47" ca="1">IF(ROWS($A$11:$A47)&lt;=COUNTIF('SL bán theo ngày'!$A$9:$A$82,"?*"),INDEX('SL bán theo ngày'!AE$9:AE$82,ROWS($A$11:$A47)),"")</f>
        <v/>
      </c>
      <c r="AC47" s="49" t="str">
        <f t="array" aca="1" ref="AC47" ca="1">IF(ROWS($A$11:$A47)&lt;=COUNTIF('SL bán theo ngày'!$A$9:$A$82,"?*"),INDEX('SL bán theo ngày'!AF$9:AF$82,ROWS($A$11:$A47)),"")</f>
        <v/>
      </c>
      <c r="AD47" s="49" t="str">
        <f t="array" aca="1" ref="AD47" ca="1">IF(ROWS($A$11:$A47)&lt;=COUNTIF('SL bán theo ngày'!$A$9:$A$82,"?*"),INDEX('SL bán theo ngày'!AG$9:AG$82,ROWS($A$11:$A47)),"")</f>
        <v/>
      </c>
      <c r="AE47" s="49" t="str">
        <f t="array" aca="1" ref="AE47" ca="1">IF(ROWS($A$11:$A47)&lt;=COUNTIF('SL bán theo ngày'!$A$9:$A$82,"?*"),INDEX('SL bán theo ngày'!AH$9:AH$82,ROWS($A$11:$A47)),"")</f>
        <v/>
      </c>
      <c r="AF47" s="49" t="str">
        <f t="array" aca="1" ref="AF47" ca="1">IF(ROWS($A$11:$A47)&lt;=COUNTIF('SL bán theo ngày'!$A$9:$A$82,"?*"),INDEX('SL bán theo ngày'!AI$9:AI$82,ROWS($A$11:$A47)),"")</f>
        <v/>
      </c>
      <c r="AG47" s="49" t="str">
        <f t="array" aca="1" ref="AG47" ca="1">IF(ROWS($A$11:$A47)&lt;=COUNTIF('SL bán theo ngày'!$A$9:$A$82,"?*"),INDEX('SL bán theo ngày'!C$9:C$82,ROWS($A$11:$A47)),"")</f>
        <v/>
      </c>
      <c r="AH47" s="74" t="str">
        <f t="array" aca="1" ref="AH47" ca="1">IF(ROWS($A$11:$A47)&lt;=COUNTIF('SL bán theo ngày'!$A$9:$A$82,"?*"),INDEX('SL bán theo ngày'!D$9:D$82,ROWS($A$11:$A47)),"")</f>
        <v/>
      </c>
      <c r="AI47" s="49" t="str">
        <f t="array" aca="1" ref="AI47" ca="1">IF(ROWS($A$11:$A47)&lt;=COUNTIF('SL bán theo ngày'!$A$9:$A$82,"?*"),INDEX('SL bán theo ngày'!E$9:E$82,ROWS($A$11:$A47)),"")</f>
        <v/>
      </c>
      <c r="AJ47" s="49" t="str">
        <f t="array" aca="1" ref="AJ47" ca="1">IF(ROWS($A$11:$A47)&lt;=COUNTIF('SL bán theo ngày'!$A$9:$A$82,"?*"),INDEX('SL bán theo ngày'!AJ$9:AJ$82,ROWS($A$11:$A47)),"")</f>
        <v/>
      </c>
      <c r="AK47" s="49" t="str">
        <f t="array" aca="1" ref="AK47" ca="1">IF(ROWS($A$11:$A47)&lt;=COUNTIF('SL bán theo ngày'!$A$9:$A$82,"?*"),INDEX('SL bán theo ngày'!AK$9:AK$82,ROWS($A$11:$A47)),"")</f>
        <v/>
      </c>
    </row>
    <row r="48" spans="1:37" ht="15.75" customHeight="1" x14ac:dyDescent="0.25">
      <c r="A48" s="33" t="str">
        <f t="array" aca="1" ref="A48" ca="1">IF(ROWS($A$11:$A48)&lt;=COUNTIF('SL bán theo ngày'!$A$9:$A$82,"?*"),INDEX('SL bán theo ngày'!A$9:A$82,ROWS($A$11:$A48)),"")</f>
        <v/>
      </c>
      <c r="B48" s="37" t="str">
        <f t="array" aca="1" ref="B48" ca="1">IF(ROWS($A$11:$A48)&lt;=COUNTIF('SL bán theo ngày'!$A$9:$A$82,"?*"),INDEX('SL bán theo ngày'!B$9:B$82,ROWS($A$11:$A48)),"")</f>
        <v/>
      </c>
      <c r="C48" s="79" t="str">
        <f t="array" aca="1" ref="C48" ca="1">IF(ROWS($A$11:$A48)&lt;=COUNTIF('SL bán theo ngày'!$A$9:$A$82,"?*"),INDEX('SL bán theo ngày'!F$9:F$82,ROWS($A$11:$A48)),"")</f>
        <v/>
      </c>
      <c r="D48" s="49" t="str">
        <f t="array" aca="1" ref="D48" ca="1">IF(ROWS($A$11:$A48)&lt;=COUNTIF('SL bán theo ngày'!$A$9:$A$82,"?*"),INDEX('SL bán theo ngày'!G$9:G$82,ROWS($A$11:$A48)),"")</f>
        <v/>
      </c>
      <c r="E48" s="49" t="str">
        <f t="array" aca="1" ref="E48" ca="1">IF(ROWS($A$11:$A48)&lt;=COUNTIF('SL bán theo ngày'!$A$9:$A$82,"?*"),INDEX('SL bán theo ngày'!H$9:H$82,ROWS($A$11:$A48)),"")</f>
        <v/>
      </c>
      <c r="F48" s="49" t="str">
        <f t="array" aca="1" ref="F48" ca="1">IF(ROWS($A$11:$A48)&lt;=COUNTIF('SL bán theo ngày'!$A$9:$A$82,"?*"),INDEX('SL bán theo ngày'!I$9:I$82,ROWS($A$11:$A48)),"")</f>
        <v/>
      </c>
      <c r="G48" s="49" t="str">
        <f t="array" aca="1" ref="G48" ca="1">IF(ROWS($A$11:$A48)&lt;=COUNTIF('SL bán theo ngày'!$A$9:$A$82,"?*"),INDEX('SL bán theo ngày'!J$9:J$82,ROWS($A$11:$A48)),"")</f>
        <v/>
      </c>
      <c r="H48" s="49" t="str">
        <f t="array" aca="1" ref="H48" ca="1">IF(ROWS($A$11:$A48)&lt;=COUNTIF('SL bán theo ngày'!$A$9:$A$82,"?*"),INDEX('SL bán theo ngày'!K$9:K$82,ROWS($A$11:$A48)),"")</f>
        <v/>
      </c>
      <c r="I48" s="49" t="str">
        <f t="array" aca="1" ref="I48" ca="1">IF(ROWS($A$11:$A48)&lt;=COUNTIF('SL bán theo ngày'!$A$9:$A$82,"?*"),INDEX('SL bán theo ngày'!L$9:L$82,ROWS($A$11:$A48)),"")</f>
        <v/>
      </c>
      <c r="J48" s="49" t="str">
        <f t="array" aca="1" ref="J48" ca="1">IF(ROWS($A$11:$A48)&lt;=COUNTIF('SL bán theo ngày'!$A$9:$A$82,"?*"),INDEX('SL bán theo ngày'!M$9:M$82,ROWS($A$11:$A48)),"")</f>
        <v/>
      </c>
      <c r="K48" s="49" t="str">
        <f t="array" aca="1" ref="K48" ca="1">IF(ROWS($A$11:$A48)&lt;=COUNTIF('SL bán theo ngày'!$A$9:$A$82,"?*"),INDEX('SL bán theo ngày'!N$9:N$82,ROWS($A$11:$A48)),"")</f>
        <v/>
      </c>
      <c r="L48" s="49" t="str">
        <f t="array" aca="1" ref="L48" ca="1">IF(ROWS($A$11:$A48)&lt;=COUNTIF('SL bán theo ngày'!$A$9:$A$82,"?*"),INDEX('SL bán theo ngày'!O$9:O$82,ROWS($A$11:$A48)),"")</f>
        <v/>
      </c>
      <c r="M48" s="49" t="str">
        <f t="array" aca="1" ref="M48" ca="1">IF(ROWS($A$11:$A48)&lt;=COUNTIF('SL bán theo ngày'!$A$9:$A$82,"?*"),INDEX('SL bán theo ngày'!P$9:P$82,ROWS($A$11:$A48)),"")</f>
        <v/>
      </c>
      <c r="N48" s="49" t="str">
        <f t="array" aca="1" ref="N48" ca="1">IF(ROWS($A$11:$A48)&lt;=COUNTIF('SL bán theo ngày'!$A$9:$A$82,"?*"),INDEX('SL bán theo ngày'!Q$9:Q$82,ROWS($A$11:$A48)),"")</f>
        <v/>
      </c>
      <c r="O48" s="49" t="str">
        <f t="array" aca="1" ref="O48" ca="1">IF(ROWS($A$11:$A48)&lt;=COUNTIF('SL bán theo ngày'!$A$9:$A$82,"?*"),INDEX('SL bán theo ngày'!R$9:R$82,ROWS($A$11:$A48)),"")</f>
        <v/>
      </c>
      <c r="P48" s="49" t="str">
        <f t="array" aca="1" ref="P48" ca="1">IF(ROWS($A$11:$A48)&lt;=COUNTIF('SL bán theo ngày'!$A$9:$A$82,"?*"),INDEX('SL bán theo ngày'!S$9:S$82,ROWS($A$11:$A48)),"")</f>
        <v/>
      </c>
      <c r="Q48" s="49" t="str">
        <f t="array" aca="1" ref="Q48" ca="1">IF(ROWS($A$11:$A48)&lt;=COUNTIF('SL bán theo ngày'!$A$9:$A$82,"?*"),INDEX('SL bán theo ngày'!T$9:T$82,ROWS($A$11:$A48)),"")</f>
        <v/>
      </c>
      <c r="R48" s="49" t="str">
        <f t="array" aca="1" ref="R48" ca="1">IF(ROWS($A$11:$A48)&lt;=COUNTIF('SL bán theo ngày'!$A$9:$A$82,"?*"),INDEX('SL bán theo ngày'!U$9:U$82,ROWS($A$11:$A48)),"")</f>
        <v/>
      </c>
      <c r="S48" s="49" t="str">
        <f t="array" aca="1" ref="S48" ca="1">IF(ROWS($A$11:$A48)&lt;=COUNTIF('SL bán theo ngày'!$A$9:$A$82,"?*"),INDEX('SL bán theo ngày'!V$9:V$82,ROWS($A$11:$A48)),"")</f>
        <v/>
      </c>
      <c r="T48" s="49" t="str">
        <f t="array" aca="1" ref="T48" ca="1">IF(ROWS($A$11:$A48)&lt;=COUNTIF('SL bán theo ngày'!$A$9:$A$82,"?*"),INDEX('SL bán theo ngày'!W$9:W$82,ROWS($A$11:$A48)),"")</f>
        <v/>
      </c>
      <c r="U48" s="49" t="str">
        <f t="array" aca="1" ref="U48" ca="1">IF(ROWS($A$11:$A48)&lt;=COUNTIF('SL bán theo ngày'!$A$9:$A$82,"?*"),INDEX('SL bán theo ngày'!X$9:X$82,ROWS($A$11:$A48)),"")</f>
        <v/>
      </c>
      <c r="V48" s="49" t="str">
        <f t="array" aca="1" ref="V48" ca="1">IF(ROWS($A$11:$A48)&lt;=COUNTIF('SL bán theo ngày'!$A$9:$A$82,"?*"),INDEX('SL bán theo ngày'!Y$9:Y$82,ROWS($A$11:$A48)),"")</f>
        <v/>
      </c>
      <c r="W48" s="49" t="str">
        <f t="array" aca="1" ref="W48" ca="1">IF(ROWS($A$11:$A48)&lt;=COUNTIF('SL bán theo ngày'!$A$9:$A$82,"?*"),INDEX('SL bán theo ngày'!Z$9:Z$82,ROWS($A$11:$A48)),"")</f>
        <v/>
      </c>
      <c r="X48" s="49" t="str">
        <f t="array" aca="1" ref="X48" ca="1">IF(ROWS($A$11:$A48)&lt;=COUNTIF('SL bán theo ngày'!$A$9:$A$82,"?*"),INDEX('SL bán theo ngày'!AA$9:AA$82,ROWS($A$11:$A48)),"")</f>
        <v/>
      </c>
      <c r="Y48" s="49" t="str">
        <f t="array" aca="1" ref="Y48" ca="1">IF(ROWS($A$11:$A48)&lt;=COUNTIF('SL bán theo ngày'!$A$9:$A$82,"?*"),INDEX('SL bán theo ngày'!AB$9:AB$82,ROWS($A$11:$A48)),"")</f>
        <v/>
      </c>
      <c r="Z48" s="49" t="str">
        <f t="array" aca="1" ref="Z48" ca="1">IF(ROWS($A$11:$A48)&lt;=COUNTIF('SL bán theo ngày'!$A$9:$A$82,"?*"),INDEX('SL bán theo ngày'!AC$9:AC$82,ROWS($A$11:$A48)),"")</f>
        <v/>
      </c>
      <c r="AA48" s="49" t="str">
        <f t="array" aca="1" ref="AA48" ca="1">IF(ROWS($A$11:$A48)&lt;=COUNTIF('SL bán theo ngày'!$A$9:$A$82,"?*"),INDEX('SL bán theo ngày'!AD$9:AD$82,ROWS($A$11:$A48)),"")</f>
        <v/>
      </c>
      <c r="AB48" s="49" t="str">
        <f t="array" aca="1" ref="AB48" ca="1">IF(ROWS($A$11:$A48)&lt;=COUNTIF('SL bán theo ngày'!$A$9:$A$82,"?*"),INDEX('SL bán theo ngày'!AE$9:AE$82,ROWS($A$11:$A48)),"")</f>
        <v/>
      </c>
      <c r="AC48" s="49" t="str">
        <f t="array" aca="1" ref="AC48" ca="1">IF(ROWS($A$11:$A48)&lt;=COUNTIF('SL bán theo ngày'!$A$9:$A$82,"?*"),INDEX('SL bán theo ngày'!AF$9:AF$82,ROWS($A$11:$A48)),"")</f>
        <v/>
      </c>
      <c r="AD48" s="49" t="str">
        <f t="array" aca="1" ref="AD48" ca="1">IF(ROWS($A$11:$A48)&lt;=COUNTIF('SL bán theo ngày'!$A$9:$A$82,"?*"),INDEX('SL bán theo ngày'!AG$9:AG$82,ROWS($A$11:$A48)),"")</f>
        <v/>
      </c>
      <c r="AE48" s="49" t="str">
        <f t="array" aca="1" ref="AE48" ca="1">IF(ROWS($A$11:$A48)&lt;=COUNTIF('SL bán theo ngày'!$A$9:$A$82,"?*"),INDEX('SL bán theo ngày'!AH$9:AH$82,ROWS($A$11:$A48)),"")</f>
        <v/>
      </c>
      <c r="AF48" s="49" t="str">
        <f t="array" aca="1" ref="AF48" ca="1">IF(ROWS($A$11:$A48)&lt;=COUNTIF('SL bán theo ngày'!$A$9:$A$82,"?*"),INDEX('SL bán theo ngày'!AI$9:AI$82,ROWS($A$11:$A48)),"")</f>
        <v/>
      </c>
      <c r="AG48" s="49" t="str">
        <f t="array" aca="1" ref="AG48" ca="1">IF(ROWS($A$11:$A48)&lt;=COUNTIF('SL bán theo ngày'!$A$9:$A$82,"?*"),INDEX('SL bán theo ngày'!C$9:C$82,ROWS($A$11:$A48)),"")</f>
        <v/>
      </c>
      <c r="AH48" s="74" t="str">
        <f t="array" aca="1" ref="AH48" ca="1">IF(ROWS($A$11:$A48)&lt;=COUNTIF('SL bán theo ngày'!$A$9:$A$82,"?*"),INDEX('SL bán theo ngày'!D$9:D$82,ROWS($A$11:$A48)),"")</f>
        <v/>
      </c>
      <c r="AI48" s="49" t="str">
        <f t="array" aca="1" ref="AI48" ca="1">IF(ROWS($A$11:$A48)&lt;=COUNTIF('SL bán theo ngày'!$A$9:$A$82,"?*"),INDEX('SL bán theo ngày'!E$9:E$82,ROWS($A$11:$A48)),"")</f>
        <v/>
      </c>
      <c r="AJ48" s="49" t="str">
        <f t="array" aca="1" ref="AJ48" ca="1">IF(ROWS($A$11:$A48)&lt;=COUNTIF('SL bán theo ngày'!$A$9:$A$82,"?*"),INDEX('SL bán theo ngày'!AJ$9:AJ$82,ROWS($A$11:$A48)),"")</f>
        <v/>
      </c>
      <c r="AK48" s="49" t="str">
        <f t="array" aca="1" ref="AK48" ca="1">IF(ROWS($A$11:$A48)&lt;=COUNTIF('SL bán theo ngày'!$A$9:$A$82,"?*"),INDEX('SL bán theo ngày'!AK$9:AK$82,ROWS($A$11:$A48)),"")</f>
        <v/>
      </c>
    </row>
    <row r="49" spans="1:37" ht="15.75" customHeight="1" x14ac:dyDescent="0.25">
      <c r="A49" s="33" t="str">
        <f t="array" aca="1" ref="A49" ca="1">IF(ROWS($A$11:$A49)&lt;=COUNTIF('SL bán theo ngày'!$A$9:$A$82,"?*"),INDEX('SL bán theo ngày'!A$9:A$82,ROWS($A$11:$A49)),"")</f>
        <v/>
      </c>
      <c r="B49" s="37" t="str">
        <f t="array" aca="1" ref="B49" ca="1">IF(ROWS($A$11:$A49)&lt;=COUNTIF('SL bán theo ngày'!$A$9:$A$82,"?*"),INDEX('SL bán theo ngày'!B$9:B$82,ROWS($A$11:$A49)),"")</f>
        <v/>
      </c>
      <c r="C49" s="79" t="str">
        <f t="array" aca="1" ref="C49" ca="1">IF(ROWS($A$11:$A49)&lt;=COUNTIF('SL bán theo ngày'!$A$9:$A$82,"?*"),INDEX('SL bán theo ngày'!F$9:F$82,ROWS($A$11:$A49)),"")</f>
        <v/>
      </c>
      <c r="D49" s="49" t="str">
        <f t="array" aca="1" ref="D49" ca="1">IF(ROWS($A$11:$A49)&lt;=COUNTIF('SL bán theo ngày'!$A$9:$A$82,"?*"),INDEX('SL bán theo ngày'!G$9:G$82,ROWS($A$11:$A49)),"")</f>
        <v/>
      </c>
      <c r="E49" s="49" t="str">
        <f t="array" aca="1" ref="E49" ca="1">IF(ROWS($A$11:$A49)&lt;=COUNTIF('SL bán theo ngày'!$A$9:$A$82,"?*"),INDEX('SL bán theo ngày'!H$9:H$82,ROWS($A$11:$A49)),"")</f>
        <v/>
      </c>
      <c r="F49" s="49" t="str">
        <f t="array" aca="1" ref="F49" ca="1">IF(ROWS($A$11:$A49)&lt;=COUNTIF('SL bán theo ngày'!$A$9:$A$82,"?*"),INDEX('SL bán theo ngày'!I$9:I$82,ROWS($A$11:$A49)),"")</f>
        <v/>
      </c>
      <c r="G49" s="49" t="str">
        <f t="array" aca="1" ref="G49" ca="1">IF(ROWS($A$11:$A49)&lt;=COUNTIF('SL bán theo ngày'!$A$9:$A$82,"?*"),INDEX('SL bán theo ngày'!J$9:J$82,ROWS($A$11:$A49)),"")</f>
        <v/>
      </c>
      <c r="H49" s="49" t="str">
        <f t="array" aca="1" ref="H49" ca="1">IF(ROWS($A$11:$A49)&lt;=COUNTIF('SL bán theo ngày'!$A$9:$A$82,"?*"),INDEX('SL bán theo ngày'!K$9:K$82,ROWS($A$11:$A49)),"")</f>
        <v/>
      </c>
      <c r="I49" s="49" t="str">
        <f t="array" aca="1" ref="I49" ca="1">IF(ROWS($A$11:$A49)&lt;=COUNTIF('SL bán theo ngày'!$A$9:$A$82,"?*"),INDEX('SL bán theo ngày'!L$9:L$82,ROWS($A$11:$A49)),"")</f>
        <v/>
      </c>
      <c r="J49" s="49" t="str">
        <f t="array" aca="1" ref="J49" ca="1">IF(ROWS($A$11:$A49)&lt;=COUNTIF('SL bán theo ngày'!$A$9:$A$82,"?*"),INDEX('SL bán theo ngày'!M$9:M$82,ROWS($A$11:$A49)),"")</f>
        <v/>
      </c>
      <c r="K49" s="49" t="str">
        <f t="array" aca="1" ref="K49" ca="1">IF(ROWS($A$11:$A49)&lt;=COUNTIF('SL bán theo ngày'!$A$9:$A$82,"?*"),INDEX('SL bán theo ngày'!N$9:N$82,ROWS($A$11:$A49)),"")</f>
        <v/>
      </c>
      <c r="L49" s="49" t="str">
        <f t="array" aca="1" ref="L49" ca="1">IF(ROWS($A$11:$A49)&lt;=COUNTIF('SL bán theo ngày'!$A$9:$A$82,"?*"),INDEX('SL bán theo ngày'!O$9:O$82,ROWS($A$11:$A49)),"")</f>
        <v/>
      </c>
      <c r="M49" s="49" t="str">
        <f t="array" aca="1" ref="M49" ca="1">IF(ROWS($A$11:$A49)&lt;=COUNTIF('SL bán theo ngày'!$A$9:$A$82,"?*"),INDEX('SL bán theo ngày'!P$9:P$82,ROWS($A$11:$A49)),"")</f>
        <v/>
      </c>
      <c r="N49" s="49" t="str">
        <f t="array" aca="1" ref="N49" ca="1">IF(ROWS($A$11:$A49)&lt;=COUNTIF('SL bán theo ngày'!$A$9:$A$82,"?*"),INDEX('SL bán theo ngày'!Q$9:Q$82,ROWS($A$11:$A49)),"")</f>
        <v/>
      </c>
      <c r="O49" s="49" t="str">
        <f t="array" aca="1" ref="O49" ca="1">IF(ROWS($A$11:$A49)&lt;=COUNTIF('SL bán theo ngày'!$A$9:$A$82,"?*"),INDEX('SL bán theo ngày'!R$9:R$82,ROWS($A$11:$A49)),"")</f>
        <v/>
      </c>
      <c r="P49" s="49" t="str">
        <f t="array" aca="1" ref="P49" ca="1">IF(ROWS($A$11:$A49)&lt;=COUNTIF('SL bán theo ngày'!$A$9:$A$82,"?*"),INDEX('SL bán theo ngày'!S$9:S$82,ROWS($A$11:$A49)),"")</f>
        <v/>
      </c>
      <c r="Q49" s="49" t="str">
        <f t="array" aca="1" ref="Q49" ca="1">IF(ROWS($A$11:$A49)&lt;=COUNTIF('SL bán theo ngày'!$A$9:$A$82,"?*"),INDEX('SL bán theo ngày'!T$9:T$82,ROWS($A$11:$A49)),"")</f>
        <v/>
      </c>
      <c r="R49" s="49" t="str">
        <f t="array" aca="1" ref="R49" ca="1">IF(ROWS($A$11:$A49)&lt;=COUNTIF('SL bán theo ngày'!$A$9:$A$82,"?*"),INDEX('SL bán theo ngày'!U$9:U$82,ROWS($A$11:$A49)),"")</f>
        <v/>
      </c>
      <c r="S49" s="49" t="str">
        <f t="array" aca="1" ref="S49" ca="1">IF(ROWS($A$11:$A49)&lt;=COUNTIF('SL bán theo ngày'!$A$9:$A$82,"?*"),INDEX('SL bán theo ngày'!V$9:V$82,ROWS($A$11:$A49)),"")</f>
        <v/>
      </c>
      <c r="T49" s="49" t="str">
        <f t="array" aca="1" ref="T49" ca="1">IF(ROWS($A$11:$A49)&lt;=COUNTIF('SL bán theo ngày'!$A$9:$A$82,"?*"),INDEX('SL bán theo ngày'!W$9:W$82,ROWS($A$11:$A49)),"")</f>
        <v/>
      </c>
      <c r="U49" s="49" t="str">
        <f t="array" aca="1" ref="U49" ca="1">IF(ROWS($A$11:$A49)&lt;=COUNTIF('SL bán theo ngày'!$A$9:$A$82,"?*"),INDEX('SL bán theo ngày'!X$9:X$82,ROWS($A$11:$A49)),"")</f>
        <v/>
      </c>
      <c r="V49" s="49" t="str">
        <f t="array" aca="1" ref="V49" ca="1">IF(ROWS($A$11:$A49)&lt;=COUNTIF('SL bán theo ngày'!$A$9:$A$82,"?*"),INDEX('SL bán theo ngày'!Y$9:Y$82,ROWS($A$11:$A49)),"")</f>
        <v/>
      </c>
      <c r="W49" s="49" t="str">
        <f t="array" aca="1" ref="W49" ca="1">IF(ROWS($A$11:$A49)&lt;=COUNTIF('SL bán theo ngày'!$A$9:$A$82,"?*"),INDEX('SL bán theo ngày'!Z$9:Z$82,ROWS($A$11:$A49)),"")</f>
        <v/>
      </c>
      <c r="X49" s="49" t="str">
        <f t="array" aca="1" ref="X49" ca="1">IF(ROWS($A$11:$A49)&lt;=COUNTIF('SL bán theo ngày'!$A$9:$A$82,"?*"),INDEX('SL bán theo ngày'!AA$9:AA$82,ROWS($A$11:$A49)),"")</f>
        <v/>
      </c>
      <c r="Y49" s="49" t="str">
        <f t="array" aca="1" ref="Y49" ca="1">IF(ROWS($A$11:$A49)&lt;=COUNTIF('SL bán theo ngày'!$A$9:$A$82,"?*"),INDEX('SL bán theo ngày'!AB$9:AB$82,ROWS($A$11:$A49)),"")</f>
        <v/>
      </c>
      <c r="Z49" s="49" t="str">
        <f t="array" aca="1" ref="Z49" ca="1">IF(ROWS($A$11:$A49)&lt;=COUNTIF('SL bán theo ngày'!$A$9:$A$82,"?*"),INDEX('SL bán theo ngày'!AC$9:AC$82,ROWS($A$11:$A49)),"")</f>
        <v/>
      </c>
      <c r="AA49" s="49" t="str">
        <f t="array" aca="1" ref="AA49" ca="1">IF(ROWS($A$11:$A49)&lt;=COUNTIF('SL bán theo ngày'!$A$9:$A$82,"?*"),INDEX('SL bán theo ngày'!AD$9:AD$82,ROWS($A$11:$A49)),"")</f>
        <v/>
      </c>
      <c r="AB49" s="49" t="str">
        <f t="array" aca="1" ref="AB49" ca="1">IF(ROWS($A$11:$A49)&lt;=COUNTIF('SL bán theo ngày'!$A$9:$A$82,"?*"),INDEX('SL bán theo ngày'!AE$9:AE$82,ROWS($A$11:$A49)),"")</f>
        <v/>
      </c>
      <c r="AC49" s="49" t="str">
        <f t="array" aca="1" ref="AC49" ca="1">IF(ROWS($A$11:$A49)&lt;=COUNTIF('SL bán theo ngày'!$A$9:$A$82,"?*"),INDEX('SL bán theo ngày'!AF$9:AF$82,ROWS($A$11:$A49)),"")</f>
        <v/>
      </c>
      <c r="AD49" s="49" t="str">
        <f t="array" aca="1" ref="AD49" ca="1">IF(ROWS($A$11:$A49)&lt;=COUNTIF('SL bán theo ngày'!$A$9:$A$82,"?*"),INDEX('SL bán theo ngày'!AG$9:AG$82,ROWS($A$11:$A49)),"")</f>
        <v/>
      </c>
      <c r="AE49" s="49" t="str">
        <f t="array" aca="1" ref="AE49" ca="1">IF(ROWS($A$11:$A49)&lt;=COUNTIF('SL bán theo ngày'!$A$9:$A$82,"?*"),INDEX('SL bán theo ngày'!AH$9:AH$82,ROWS($A$11:$A49)),"")</f>
        <v/>
      </c>
      <c r="AF49" s="49" t="str">
        <f t="array" aca="1" ref="AF49" ca="1">IF(ROWS($A$11:$A49)&lt;=COUNTIF('SL bán theo ngày'!$A$9:$A$82,"?*"),INDEX('SL bán theo ngày'!AI$9:AI$82,ROWS($A$11:$A49)),"")</f>
        <v/>
      </c>
      <c r="AG49" s="49" t="str">
        <f t="array" aca="1" ref="AG49" ca="1">IF(ROWS($A$11:$A49)&lt;=COUNTIF('SL bán theo ngày'!$A$9:$A$82,"?*"),INDEX('SL bán theo ngày'!C$9:C$82,ROWS($A$11:$A49)),"")</f>
        <v/>
      </c>
      <c r="AH49" s="74" t="str">
        <f t="array" aca="1" ref="AH49" ca="1">IF(ROWS($A$11:$A49)&lt;=COUNTIF('SL bán theo ngày'!$A$9:$A$82,"?*"),INDEX('SL bán theo ngày'!D$9:D$82,ROWS($A$11:$A49)),"")</f>
        <v/>
      </c>
      <c r="AI49" s="49" t="str">
        <f t="array" aca="1" ref="AI49" ca="1">IF(ROWS($A$11:$A49)&lt;=COUNTIF('SL bán theo ngày'!$A$9:$A$82,"?*"),INDEX('SL bán theo ngày'!E$9:E$82,ROWS($A$11:$A49)),"")</f>
        <v/>
      </c>
      <c r="AJ49" s="49" t="str">
        <f t="array" aca="1" ref="AJ49" ca="1">IF(ROWS($A$11:$A49)&lt;=COUNTIF('SL bán theo ngày'!$A$9:$A$82,"?*"),INDEX('SL bán theo ngày'!AJ$9:AJ$82,ROWS($A$11:$A49)),"")</f>
        <v/>
      </c>
      <c r="AK49" s="49" t="str">
        <f t="array" aca="1" ref="AK49" ca="1">IF(ROWS($A$11:$A49)&lt;=COUNTIF('SL bán theo ngày'!$A$9:$A$82,"?*"),INDEX('SL bán theo ngày'!AK$9:AK$82,ROWS($A$11:$A49)),"")</f>
        <v/>
      </c>
    </row>
    <row r="50" spans="1:37" ht="15.75" customHeight="1" x14ac:dyDescent="0.25">
      <c r="A50" s="33" t="str">
        <f t="array" aca="1" ref="A50" ca="1">IF(ROWS($A$11:$A50)&lt;=COUNTIF('SL bán theo ngày'!$A$9:$A$82,"?*"),INDEX('SL bán theo ngày'!A$9:A$82,ROWS($A$11:$A50)),"")</f>
        <v/>
      </c>
      <c r="B50" s="37" t="str">
        <f t="array" aca="1" ref="B50" ca="1">IF(ROWS($A$11:$A50)&lt;=COUNTIF('SL bán theo ngày'!$A$9:$A$82,"?*"),INDEX('SL bán theo ngày'!B$9:B$82,ROWS($A$11:$A50)),"")</f>
        <v/>
      </c>
      <c r="C50" s="79" t="str">
        <f t="array" aca="1" ref="C50" ca="1">IF(ROWS($A$11:$A50)&lt;=COUNTIF('SL bán theo ngày'!$A$9:$A$82,"?*"),INDEX('SL bán theo ngày'!F$9:F$82,ROWS($A$11:$A50)),"")</f>
        <v/>
      </c>
      <c r="D50" s="49" t="str">
        <f t="array" aca="1" ref="D50" ca="1">IF(ROWS($A$11:$A50)&lt;=COUNTIF('SL bán theo ngày'!$A$9:$A$82,"?*"),INDEX('SL bán theo ngày'!G$9:G$82,ROWS($A$11:$A50)),"")</f>
        <v/>
      </c>
      <c r="E50" s="49" t="str">
        <f t="array" aca="1" ref="E50" ca="1">IF(ROWS($A$11:$A50)&lt;=COUNTIF('SL bán theo ngày'!$A$9:$A$82,"?*"),INDEX('SL bán theo ngày'!H$9:H$82,ROWS($A$11:$A50)),"")</f>
        <v/>
      </c>
      <c r="F50" s="49" t="str">
        <f t="array" aca="1" ref="F50" ca="1">IF(ROWS($A$11:$A50)&lt;=COUNTIF('SL bán theo ngày'!$A$9:$A$82,"?*"),INDEX('SL bán theo ngày'!I$9:I$82,ROWS($A$11:$A50)),"")</f>
        <v/>
      </c>
      <c r="G50" s="49" t="str">
        <f t="array" aca="1" ref="G50" ca="1">IF(ROWS($A$11:$A50)&lt;=COUNTIF('SL bán theo ngày'!$A$9:$A$82,"?*"),INDEX('SL bán theo ngày'!J$9:J$82,ROWS($A$11:$A50)),"")</f>
        <v/>
      </c>
      <c r="H50" s="49" t="str">
        <f t="array" aca="1" ref="H50" ca="1">IF(ROWS($A$11:$A50)&lt;=COUNTIF('SL bán theo ngày'!$A$9:$A$82,"?*"),INDEX('SL bán theo ngày'!K$9:K$82,ROWS($A$11:$A50)),"")</f>
        <v/>
      </c>
      <c r="I50" s="49" t="str">
        <f t="array" aca="1" ref="I50" ca="1">IF(ROWS($A$11:$A50)&lt;=COUNTIF('SL bán theo ngày'!$A$9:$A$82,"?*"),INDEX('SL bán theo ngày'!L$9:L$82,ROWS($A$11:$A50)),"")</f>
        <v/>
      </c>
      <c r="J50" s="49" t="str">
        <f t="array" aca="1" ref="J50" ca="1">IF(ROWS($A$11:$A50)&lt;=COUNTIF('SL bán theo ngày'!$A$9:$A$82,"?*"),INDEX('SL bán theo ngày'!M$9:M$82,ROWS($A$11:$A50)),"")</f>
        <v/>
      </c>
      <c r="K50" s="49" t="str">
        <f t="array" aca="1" ref="K50" ca="1">IF(ROWS($A$11:$A50)&lt;=COUNTIF('SL bán theo ngày'!$A$9:$A$82,"?*"),INDEX('SL bán theo ngày'!N$9:N$82,ROWS($A$11:$A50)),"")</f>
        <v/>
      </c>
      <c r="L50" s="49" t="str">
        <f t="array" aca="1" ref="L50" ca="1">IF(ROWS($A$11:$A50)&lt;=COUNTIF('SL bán theo ngày'!$A$9:$A$82,"?*"),INDEX('SL bán theo ngày'!O$9:O$82,ROWS($A$11:$A50)),"")</f>
        <v/>
      </c>
      <c r="M50" s="49" t="str">
        <f t="array" aca="1" ref="M50" ca="1">IF(ROWS($A$11:$A50)&lt;=COUNTIF('SL bán theo ngày'!$A$9:$A$82,"?*"),INDEX('SL bán theo ngày'!P$9:P$82,ROWS($A$11:$A50)),"")</f>
        <v/>
      </c>
      <c r="N50" s="49" t="str">
        <f t="array" aca="1" ref="N50" ca="1">IF(ROWS($A$11:$A50)&lt;=COUNTIF('SL bán theo ngày'!$A$9:$A$82,"?*"),INDEX('SL bán theo ngày'!Q$9:Q$82,ROWS($A$11:$A50)),"")</f>
        <v/>
      </c>
      <c r="O50" s="49" t="str">
        <f t="array" aca="1" ref="O50" ca="1">IF(ROWS($A$11:$A50)&lt;=COUNTIF('SL bán theo ngày'!$A$9:$A$82,"?*"),INDEX('SL bán theo ngày'!R$9:R$82,ROWS($A$11:$A50)),"")</f>
        <v/>
      </c>
      <c r="P50" s="49" t="str">
        <f t="array" aca="1" ref="P50" ca="1">IF(ROWS($A$11:$A50)&lt;=COUNTIF('SL bán theo ngày'!$A$9:$A$82,"?*"),INDEX('SL bán theo ngày'!S$9:S$82,ROWS($A$11:$A50)),"")</f>
        <v/>
      </c>
      <c r="Q50" s="49" t="str">
        <f t="array" aca="1" ref="Q50" ca="1">IF(ROWS($A$11:$A50)&lt;=COUNTIF('SL bán theo ngày'!$A$9:$A$82,"?*"),INDEX('SL bán theo ngày'!T$9:T$82,ROWS($A$11:$A50)),"")</f>
        <v/>
      </c>
      <c r="R50" s="49" t="str">
        <f t="array" aca="1" ref="R50" ca="1">IF(ROWS($A$11:$A50)&lt;=COUNTIF('SL bán theo ngày'!$A$9:$A$82,"?*"),INDEX('SL bán theo ngày'!U$9:U$82,ROWS($A$11:$A50)),"")</f>
        <v/>
      </c>
      <c r="S50" s="49" t="str">
        <f t="array" aca="1" ref="S50" ca="1">IF(ROWS($A$11:$A50)&lt;=COUNTIF('SL bán theo ngày'!$A$9:$A$82,"?*"),INDEX('SL bán theo ngày'!V$9:V$82,ROWS($A$11:$A50)),"")</f>
        <v/>
      </c>
      <c r="T50" s="49" t="str">
        <f t="array" aca="1" ref="T50" ca="1">IF(ROWS($A$11:$A50)&lt;=COUNTIF('SL bán theo ngày'!$A$9:$A$82,"?*"),INDEX('SL bán theo ngày'!W$9:W$82,ROWS($A$11:$A50)),"")</f>
        <v/>
      </c>
      <c r="U50" s="49" t="str">
        <f t="array" aca="1" ref="U50" ca="1">IF(ROWS($A$11:$A50)&lt;=COUNTIF('SL bán theo ngày'!$A$9:$A$82,"?*"),INDEX('SL bán theo ngày'!X$9:X$82,ROWS($A$11:$A50)),"")</f>
        <v/>
      </c>
      <c r="V50" s="49" t="str">
        <f t="array" aca="1" ref="V50" ca="1">IF(ROWS($A$11:$A50)&lt;=COUNTIF('SL bán theo ngày'!$A$9:$A$82,"?*"),INDEX('SL bán theo ngày'!Y$9:Y$82,ROWS($A$11:$A50)),"")</f>
        <v/>
      </c>
      <c r="W50" s="49" t="str">
        <f t="array" aca="1" ref="W50" ca="1">IF(ROWS($A$11:$A50)&lt;=COUNTIF('SL bán theo ngày'!$A$9:$A$82,"?*"),INDEX('SL bán theo ngày'!Z$9:Z$82,ROWS($A$11:$A50)),"")</f>
        <v/>
      </c>
      <c r="X50" s="49" t="str">
        <f t="array" aca="1" ref="X50" ca="1">IF(ROWS($A$11:$A50)&lt;=COUNTIF('SL bán theo ngày'!$A$9:$A$82,"?*"),INDEX('SL bán theo ngày'!AA$9:AA$82,ROWS($A$11:$A50)),"")</f>
        <v/>
      </c>
      <c r="Y50" s="49" t="str">
        <f t="array" aca="1" ref="Y50" ca="1">IF(ROWS($A$11:$A50)&lt;=COUNTIF('SL bán theo ngày'!$A$9:$A$82,"?*"),INDEX('SL bán theo ngày'!AB$9:AB$82,ROWS($A$11:$A50)),"")</f>
        <v/>
      </c>
      <c r="Z50" s="49" t="str">
        <f t="array" aca="1" ref="Z50" ca="1">IF(ROWS($A$11:$A50)&lt;=COUNTIF('SL bán theo ngày'!$A$9:$A$82,"?*"),INDEX('SL bán theo ngày'!AC$9:AC$82,ROWS($A$11:$A50)),"")</f>
        <v/>
      </c>
      <c r="AA50" s="49" t="str">
        <f t="array" aca="1" ref="AA50" ca="1">IF(ROWS($A$11:$A50)&lt;=COUNTIF('SL bán theo ngày'!$A$9:$A$82,"?*"),INDEX('SL bán theo ngày'!AD$9:AD$82,ROWS($A$11:$A50)),"")</f>
        <v/>
      </c>
      <c r="AB50" s="49" t="str">
        <f t="array" aca="1" ref="AB50" ca="1">IF(ROWS($A$11:$A50)&lt;=COUNTIF('SL bán theo ngày'!$A$9:$A$82,"?*"),INDEX('SL bán theo ngày'!AE$9:AE$82,ROWS($A$11:$A50)),"")</f>
        <v/>
      </c>
      <c r="AC50" s="49" t="str">
        <f t="array" aca="1" ref="AC50" ca="1">IF(ROWS($A$11:$A50)&lt;=COUNTIF('SL bán theo ngày'!$A$9:$A$82,"?*"),INDEX('SL bán theo ngày'!AF$9:AF$82,ROWS($A$11:$A50)),"")</f>
        <v/>
      </c>
      <c r="AD50" s="49" t="str">
        <f t="array" aca="1" ref="AD50" ca="1">IF(ROWS($A$11:$A50)&lt;=COUNTIF('SL bán theo ngày'!$A$9:$A$82,"?*"),INDEX('SL bán theo ngày'!AG$9:AG$82,ROWS($A$11:$A50)),"")</f>
        <v/>
      </c>
      <c r="AE50" s="49" t="str">
        <f t="array" aca="1" ref="AE50" ca="1">IF(ROWS($A$11:$A50)&lt;=COUNTIF('SL bán theo ngày'!$A$9:$A$82,"?*"),INDEX('SL bán theo ngày'!AH$9:AH$82,ROWS($A$11:$A50)),"")</f>
        <v/>
      </c>
      <c r="AF50" s="49" t="str">
        <f t="array" aca="1" ref="AF50" ca="1">IF(ROWS($A$11:$A50)&lt;=COUNTIF('SL bán theo ngày'!$A$9:$A$82,"?*"),INDEX('SL bán theo ngày'!AI$9:AI$82,ROWS($A$11:$A50)),"")</f>
        <v/>
      </c>
      <c r="AG50" s="49" t="str">
        <f t="array" aca="1" ref="AG50" ca="1">IF(ROWS($A$11:$A50)&lt;=COUNTIF('SL bán theo ngày'!$A$9:$A$82,"?*"),INDEX('SL bán theo ngày'!C$9:C$82,ROWS($A$11:$A50)),"")</f>
        <v/>
      </c>
      <c r="AH50" s="74" t="str">
        <f t="array" aca="1" ref="AH50" ca="1">IF(ROWS($A$11:$A50)&lt;=COUNTIF('SL bán theo ngày'!$A$9:$A$82,"?*"),INDEX('SL bán theo ngày'!D$9:D$82,ROWS($A$11:$A50)),"")</f>
        <v/>
      </c>
      <c r="AI50" s="49" t="str">
        <f t="array" aca="1" ref="AI50" ca="1">IF(ROWS($A$11:$A50)&lt;=COUNTIF('SL bán theo ngày'!$A$9:$A$82,"?*"),INDEX('SL bán theo ngày'!E$9:E$82,ROWS($A$11:$A50)),"")</f>
        <v/>
      </c>
      <c r="AJ50" s="49" t="str">
        <f t="array" aca="1" ref="AJ50" ca="1">IF(ROWS($A$11:$A50)&lt;=COUNTIF('SL bán theo ngày'!$A$9:$A$82,"?*"),INDEX('SL bán theo ngày'!AJ$9:AJ$82,ROWS($A$11:$A50)),"")</f>
        <v/>
      </c>
      <c r="AK50" s="49" t="str">
        <f t="array" aca="1" ref="AK50" ca="1">IF(ROWS($A$11:$A50)&lt;=COUNTIF('SL bán theo ngày'!$A$9:$A$82,"?*"),INDEX('SL bán theo ngày'!AK$9:AK$82,ROWS($A$11:$A50)),"")</f>
        <v/>
      </c>
    </row>
    <row r="51" spans="1:37" ht="15.75" customHeight="1" x14ac:dyDescent="0.25">
      <c r="A51" s="33" t="str">
        <f t="array" aca="1" ref="A51" ca="1">IF(ROWS($A$11:$A51)&lt;=COUNTIF('SL bán theo ngày'!$A$9:$A$82,"?*"),INDEX('SL bán theo ngày'!A$9:A$82,ROWS($A$11:$A51)),"")</f>
        <v/>
      </c>
      <c r="B51" s="37" t="str">
        <f t="array" aca="1" ref="B51" ca="1">IF(ROWS($A$11:$A51)&lt;=COUNTIF('SL bán theo ngày'!$A$9:$A$82,"?*"),INDEX('SL bán theo ngày'!B$9:B$82,ROWS($A$11:$A51)),"")</f>
        <v/>
      </c>
      <c r="C51" s="79" t="str">
        <f t="array" aca="1" ref="C51" ca="1">IF(ROWS($A$11:$A51)&lt;=COUNTIF('SL bán theo ngày'!$A$9:$A$82,"?*"),INDEX('SL bán theo ngày'!F$9:F$82,ROWS($A$11:$A51)),"")</f>
        <v/>
      </c>
      <c r="D51" s="49" t="str">
        <f t="array" aca="1" ref="D51" ca="1">IF(ROWS($A$11:$A51)&lt;=COUNTIF('SL bán theo ngày'!$A$9:$A$82,"?*"),INDEX('SL bán theo ngày'!G$9:G$82,ROWS($A$11:$A51)),"")</f>
        <v/>
      </c>
      <c r="E51" s="49" t="str">
        <f t="array" aca="1" ref="E51" ca="1">IF(ROWS($A$11:$A51)&lt;=COUNTIF('SL bán theo ngày'!$A$9:$A$82,"?*"),INDEX('SL bán theo ngày'!H$9:H$82,ROWS($A$11:$A51)),"")</f>
        <v/>
      </c>
      <c r="F51" s="49" t="str">
        <f t="array" aca="1" ref="F51" ca="1">IF(ROWS($A$11:$A51)&lt;=COUNTIF('SL bán theo ngày'!$A$9:$A$82,"?*"),INDEX('SL bán theo ngày'!I$9:I$82,ROWS($A$11:$A51)),"")</f>
        <v/>
      </c>
      <c r="G51" s="49" t="str">
        <f t="array" aca="1" ref="G51" ca="1">IF(ROWS($A$11:$A51)&lt;=COUNTIF('SL bán theo ngày'!$A$9:$A$82,"?*"),INDEX('SL bán theo ngày'!J$9:J$82,ROWS($A$11:$A51)),"")</f>
        <v/>
      </c>
      <c r="H51" s="49" t="str">
        <f t="array" aca="1" ref="H51" ca="1">IF(ROWS($A$11:$A51)&lt;=COUNTIF('SL bán theo ngày'!$A$9:$A$82,"?*"),INDEX('SL bán theo ngày'!K$9:K$82,ROWS($A$11:$A51)),"")</f>
        <v/>
      </c>
      <c r="I51" s="49" t="str">
        <f t="array" aca="1" ref="I51" ca="1">IF(ROWS($A$11:$A51)&lt;=COUNTIF('SL bán theo ngày'!$A$9:$A$82,"?*"),INDEX('SL bán theo ngày'!L$9:L$82,ROWS($A$11:$A51)),"")</f>
        <v/>
      </c>
      <c r="J51" s="49" t="str">
        <f t="array" aca="1" ref="J51" ca="1">IF(ROWS($A$11:$A51)&lt;=COUNTIF('SL bán theo ngày'!$A$9:$A$82,"?*"),INDEX('SL bán theo ngày'!M$9:M$82,ROWS($A$11:$A51)),"")</f>
        <v/>
      </c>
      <c r="K51" s="49" t="str">
        <f t="array" aca="1" ref="K51" ca="1">IF(ROWS($A$11:$A51)&lt;=COUNTIF('SL bán theo ngày'!$A$9:$A$82,"?*"),INDEX('SL bán theo ngày'!N$9:N$82,ROWS($A$11:$A51)),"")</f>
        <v/>
      </c>
      <c r="L51" s="49" t="str">
        <f t="array" aca="1" ref="L51" ca="1">IF(ROWS($A$11:$A51)&lt;=COUNTIF('SL bán theo ngày'!$A$9:$A$82,"?*"),INDEX('SL bán theo ngày'!O$9:O$82,ROWS($A$11:$A51)),"")</f>
        <v/>
      </c>
      <c r="M51" s="49" t="str">
        <f t="array" aca="1" ref="M51" ca="1">IF(ROWS($A$11:$A51)&lt;=COUNTIF('SL bán theo ngày'!$A$9:$A$82,"?*"),INDEX('SL bán theo ngày'!P$9:P$82,ROWS($A$11:$A51)),"")</f>
        <v/>
      </c>
      <c r="N51" s="49" t="str">
        <f t="array" aca="1" ref="N51" ca="1">IF(ROWS($A$11:$A51)&lt;=COUNTIF('SL bán theo ngày'!$A$9:$A$82,"?*"),INDEX('SL bán theo ngày'!Q$9:Q$82,ROWS($A$11:$A51)),"")</f>
        <v/>
      </c>
      <c r="O51" s="49" t="str">
        <f t="array" aca="1" ref="O51" ca="1">IF(ROWS($A$11:$A51)&lt;=COUNTIF('SL bán theo ngày'!$A$9:$A$82,"?*"),INDEX('SL bán theo ngày'!R$9:R$82,ROWS($A$11:$A51)),"")</f>
        <v/>
      </c>
      <c r="P51" s="49" t="str">
        <f t="array" aca="1" ref="P51" ca="1">IF(ROWS($A$11:$A51)&lt;=COUNTIF('SL bán theo ngày'!$A$9:$A$82,"?*"),INDEX('SL bán theo ngày'!S$9:S$82,ROWS($A$11:$A51)),"")</f>
        <v/>
      </c>
      <c r="Q51" s="49" t="str">
        <f t="array" aca="1" ref="Q51" ca="1">IF(ROWS($A$11:$A51)&lt;=COUNTIF('SL bán theo ngày'!$A$9:$A$82,"?*"),INDEX('SL bán theo ngày'!T$9:T$82,ROWS($A$11:$A51)),"")</f>
        <v/>
      </c>
      <c r="R51" s="49" t="str">
        <f t="array" aca="1" ref="R51" ca="1">IF(ROWS($A$11:$A51)&lt;=COUNTIF('SL bán theo ngày'!$A$9:$A$82,"?*"),INDEX('SL bán theo ngày'!U$9:U$82,ROWS($A$11:$A51)),"")</f>
        <v/>
      </c>
      <c r="S51" s="49" t="str">
        <f t="array" aca="1" ref="S51" ca="1">IF(ROWS($A$11:$A51)&lt;=COUNTIF('SL bán theo ngày'!$A$9:$A$82,"?*"),INDEX('SL bán theo ngày'!V$9:V$82,ROWS($A$11:$A51)),"")</f>
        <v/>
      </c>
      <c r="T51" s="49" t="str">
        <f t="array" aca="1" ref="T51" ca="1">IF(ROWS($A$11:$A51)&lt;=COUNTIF('SL bán theo ngày'!$A$9:$A$82,"?*"),INDEX('SL bán theo ngày'!W$9:W$82,ROWS($A$11:$A51)),"")</f>
        <v/>
      </c>
      <c r="U51" s="49" t="str">
        <f t="array" aca="1" ref="U51" ca="1">IF(ROWS($A$11:$A51)&lt;=COUNTIF('SL bán theo ngày'!$A$9:$A$82,"?*"),INDEX('SL bán theo ngày'!X$9:X$82,ROWS($A$11:$A51)),"")</f>
        <v/>
      </c>
      <c r="V51" s="49" t="str">
        <f t="array" aca="1" ref="V51" ca="1">IF(ROWS($A$11:$A51)&lt;=COUNTIF('SL bán theo ngày'!$A$9:$A$82,"?*"),INDEX('SL bán theo ngày'!Y$9:Y$82,ROWS($A$11:$A51)),"")</f>
        <v/>
      </c>
      <c r="W51" s="49" t="str">
        <f t="array" aca="1" ref="W51" ca="1">IF(ROWS($A$11:$A51)&lt;=COUNTIF('SL bán theo ngày'!$A$9:$A$82,"?*"),INDEX('SL bán theo ngày'!Z$9:Z$82,ROWS($A$11:$A51)),"")</f>
        <v/>
      </c>
      <c r="X51" s="49" t="str">
        <f t="array" aca="1" ref="X51" ca="1">IF(ROWS($A$11:$A51)&lt;=COUNTIF('SL bán theo ngày'!$A$9:$A$82,"?*"),INDEX('SL bán theo ngày'!AA$9:AA$82,ROWS($A$11:$A51)),"")</f>
        <v/>
      </c>
      <c r="Y51" s="49" t="str">
        <f t="array" aca="1" ref="Y51" ca="1">IF(ROWS($A$11:$A51)&lt;=COUNTIF('SL bán theo ngày'!$A$9:$A$82,"?*"),INDEX('SL bán theo ngày'!AB$9:AB$82,ROWS($A$11:$A51)),"")</f>
        <v/>
      </c>
      <c r="Z51" s="49" t="str">
        <f t="array" aca="1" ref="Z51" ca="1">IF(ROWS($A$11:$A51)&lt;=COUNTIF('SL bán theo ngày'!$A$9:$A$82,"?*"),INDEX('SL bán theo ngày'!AC$9:AC$82,ROWS($A$11:$A51)),"")</f>
        <v/>
      </c>
      <c r="AA51" s="49" t="str">
        <f t="array" aca="1" ref="AA51" ca="1">IF(ROWS($A$11:$A51)&lt;=COUNTIF('SL bán theo ngày'!$A$9:$A$82,"?*"),INDEX('SL bán theo ngày'!AD$9:AD$82,ROWS($A$11:$A51)),"")</f>
        <v/>
      </c>
      <c r="AB51" s="49" t="str">
        <f t="array" aca="1" ref="AB51" ca="1">IF(ROWS($A$11:$A51)&lt;=COUNTIF('SL bán theo ngày'!$A$9:$A$82,"?*"),INDEX('SL bán theo ngày'!AE$9:AE$82,ROWS($A$11:$A51)),"")</f>
        <v/>
      </c>
      <c r="AC51" s="49" t="str">
        <f t="array" aca="1" ref="AC51" ca="1">IF(ROWS($A$11:$A51)&lt;=COUNTIF('SL bán theo ngày'!$A$9:$A$82,"?*"),INDEX('SL bán theo ngày'!AF$9:AF$82,ROWS($A$11:$A51)),"")</f>
        <v/>
      </c>
      <c r="AD51" s="49" t="str">
        <f t="array" aca="1" ref="AD51" ca="1">IF(ROWS($A$11:$A51)&lt;=COUNTIF('SL bán theo ngày'!$A$9:$A$82,"?*"),INDEX('SL bán theo ngày'!AG$9:AG$82,ROWS($A$11:$A51)),"")</f>
        <v/>
      </c>
      <c r="AE51" s="49" t="str">
        <f t="array" aca="1" ref="AE51" ca="1">IF(ROWS($A$11:$A51)&lt;=COUNTIF('SL bán theo ngày'!$A$9:$A$82,"?*"),INDEX('SL bán theo ngày'!AH$9:AH$82,ROWS($A$11:$A51)),"")</f>
        <v/>
      </c>
      <c r="AF51" s="49" t="str">
        <f t="array" aca="1" ref="AF51" ca="1">IF(ROWS($A$11:$A51)&lt;=COUNTIF('SL bán theo ngày'!$A$9:$A$82,"?*"),INDEX('SL bán theo ngày'!AI$9:AI$82,ROWS($A$11:$A51)),"")</f>
        <v/>
      </c>
      <c r="AG51" s="49" t="str">
        <f t="array" aca="1" ref="AG51" ca="1">IF(ROWS($A$11:$A51)&lt;=COUNTIF('SL bán theo ngày'!$A$9:$A$82,"?*"),INDEX('SL bán theo ngày'!C$9:C$82,ROWS($A$11:$A51)),"")</f>
        <v/>
      </c>
      <c r="AH51" s="74" t="str">
        <f t="array" aca="1" ref="AH51" ca="1">IF(ROWS($A$11:$A51)&lt;=COUNTIF('SL bán theo ngày'!$A$9:$A$82,"?*"),INDEX('SL bán theo ngày'!D$9:D$82,ROWS($A$11:$A51)),"")</f>
        <v/>
      </c>
      <c r="AI51" s="49" t="str">
        <f t="array" aca="1" ref="AI51" ca="1">IF(ROWS($A$11:$A51)&lt;=COUNTIF('SL bán theo ngày'!$A$9:$A$82,"?*"),INDEX('SL bán theo ngày'!E$9:E$82,ROWS($A$11:$A51)),"")</f>
        <v/>
      </c>
      <c r="AJ51" s="49" t="str">
        <f t="array" aca="1" ref="AJ51" ca="1">IF(ROWS($A$11:$A51)&lt;=COUNTIF('SL bán theo ngày'!$A$9:$A$82,"?*"),INDEX('SL bán theo ngày'!AJ$9:AJ$82,ROWS($A$11:$A51)),"")</f>
        <v/>
      </c>
      <c r="AK51" s="49" t="str">
        <f t="array" aca="1" ref="AK51" ca="1">IF(ROWS($A$11:$A51)&lt;=COUNTIF('SL bán theo ngày'!$A$9:$A$82,"?*"),INDEX('SL bán theo ngày'!AK$9:AK$82,ROWS($A$11:$A51)),"")</f>
        <v/>
      </c>
    </row>
    <row r="52" spans="1:37" ht="15.75" customHeight="1" x14ac:dyDescent="0.25">
      <c r="A52" s="33" t="str">
        <f t="array" aca="1" ref="A52" ca="1">IF(ROWS($A$11:$A52)&lt;=COUNTIF('SL bán theo ngày'!$A$9:$A$82,"?*"),INDEX('SL bán theo ngày'!A$9:A$82,ROWS($A$11:$A52)),"")</f>
        <v/>
      </c>
      <c r="B52" s="37" t="str">
        <f t="array" aca="1" ref="B52" ca="1">IF(ROWS($A$11:$A52)&lt;=COUNTIF('SL bán theo ngày'!$A$9:$A$82,"?*"),INDEX('SL bán theo ngày'!B$9:B$82,ROWS($A$11:$A52)),"")</f>
        <v/>
      </c>
      <c r="C52" s="79" t="str">
        <f t="array" aca="1" ref="C52" ca="1">IF(ROWS($A$11:$A52)&lt;=COUNTIF('SL bán theo ngày'!$A$9:$A$82,"?*"),INDEX('SL bán theo ngày'!F$9:F$82,ROWS($A$11:$A52)),"")</f>
        <v/>
      </c>
      <c r="D52" s="49" t="str">
        <f t="array" aca="1" ref="D52" ca="1">IF(ROWS($A$11:$A52)&lt;=COUNTIF('SL bán theo ngày'!$A$9:$A$82,"?*"),INDEX('SL bán theo ngày'!G$9:G$82,ROWS($A$11:$A52)),"")</f>
        <v/>
      </c>
      <c r="E52" s="49" t="str">
        <f t="array" aca="1" ref="E52" ca="1">IF(ROWS($A$11:$A52)&lt;=COUNTIF('SL bán theo ngày'!$A$9:$A$82,"?*"),INDEX('SL bán theo ngày'!H$9:H$82,ROWS($A$11:$A52)),"")</f>
        <v/>
      </c>
      <c r="F52" s="49" t="str">
        <f t="array" aca="1" ref="F52" ca="1">IF(ROWS($A$11:$A52)&lt;=COUNTIF('SL bán theo ngày'!$A$9:$A$82,"?*"),INDEX('SL bán theo ngày'!I$9:I$82,ROWS($A$11:$A52)),"")</f>
        <v/>
      </c>
      <c r="G52" s="49" t="str">
        <f t="array" aca="1" ref="G52" ca="1">IF(ROWS($A$11:$A52)&lt;=COUNTIF('SL bán theo ngày'!$A$9:$A$82,"?*"),INDEX('SL bán theo ngày'!J$9:J$82,ROWS($A$11:$A52)),"")</f>
        <v/>
      </c>
      <c r="H52" s="49" t="str">
        <f t="array" aca="1" ref="H52" ca="1">IF(ROWS($A$11:$A52)&lt;=COUNTIF('SL bán theo ngày'!$A$9:$A$82,"?*"),INDEX('SL bán theo ngày'!K$9:K$82,ROWS($A$11:$A52)),"")</f>
        <v/>
      </c>
      <c r="I52" s="49" t="str">
        <f t="array" aca="1" ref="I52" ca="1">IF(ROWS($A$11:$A52)&lt;=COUNTIF('SL bán theo ngày'!$A$9:$A$82,"?*"),INDEX('SL bán theo ngày'!L$9:L$82,ROWS($A$11:$A52)),"")</f>
        <v/>
      </c>
      <c r="J52" s="49" t="str">
        <f t="array" aca="1" ref="J52" ca="1">IF(ROWS($A$11:$A52)&lt;=COUNTIF('SL bán theo ngày'!$A$9:$A$82,"?*"),INDEX('SL bán theo ngày'!M$9:M$82,ROWS($A$11:$A52)),"")</f>
        <v/>
      </c>
      <c r="K52" s="49" t="str">
        <f t="array" aca="1" ref="K52" ca="1">IF(ROWS($A$11:$A52)&lt;=COUNTIF('SL bán theo ngày'!$A$9:$A$82,"?*"),INDEX('SL bán theo ngày'!N$9:N$82,ROWS($A$11:$A52)),"")</f>
        <v/>
      </c>
      <c r="L52" s="49" t="str">
        <f t="array" aca="1" ref="L52" ca="1">IF(ROWS($A$11:$A52)&lt;=COUNTIF('SL bán theo ngày'!$A$9:$A$82,"?*"),INDEX('SL bán theo ngày'!O$9:O$82,ROWS($A$11:$A52)),"")</f>
        <v/>
      </c>
      <c r="M52" s="49" t="str">
        <f t="array" aca="1" ref="M52" ca="1">IF(ROWS($A$11:$A52)&lt;=COUNTIF('SL bán theo ngày'!$A$9:$A$82,"?*"),INDEX('SL bán theo ngày'!P$9:P$82,ROWS($A$11:$A52)),"")</f>
        <v/>
      </c>
      <c r="N52" s="49" t="str">
        <f t="array" aca="1" ref="N52" ca="1">IF(ROWS($A$11:$A52)&lt;=COUNTIF('SL bán theo ngày'!$A$9:$A$82,"?*"),INDEX('SL bán theo ngày'!Q$9:Q$82,ROWS($A$11:$A52)),"")</f>
        <v/>
      </c>
      <c r="O52" s="49" t="str">
        <f t="array" aca="1" ref="O52" ca="1">IF(ROWS($A$11:$A52)&lt;=COUNTIF('SL bán theo ngày'!$A$9:$A$82,"?*"),INDEX('SL bán theo ngày'!R$9:R$82,ROWS($A$11:$A52)),"")</f>
        <v/>
      </c>
      <c r="P52" s="49" t="str">
        <f t="array" aca="1" ref="P52" ca="1">IF(ROWS($A$11:$A52)&lt;=COUNTIF('SL bán theo ngày'!$A$9:$A$82,"?*"),INDEX('SL bán theo ngày'!S$9:S$82,ROWS($A$11:$A52)),"")</f>
        <v/>
      </c>
      <c r="Q52" s="49" t="str">
        <f t="array" aca="1" ref="Q52" ca="1">IF(ROWS($A$11:$A52)&lt;=COUNTIF('SL bán theo ngày'!$A$9:$A$82,"?*"),INDEX('SL bán theo ngày'!T$9:T$82,ROWS($A$11:$A52)),"")</f>
        <v/>
      </c>
      <c r="R52" s="49" t="str">
        <f t="array" aca="1" ref="R52" ca="1">IF(ROWS($A$11:$A52)&lt;=COUNTIF('SL bán theo ngày'!$A$9:$A$82,"?*"),INDEX('SL bán theo ngày'!U$9:U$82,ROWS($A$11:$A52)),"")</f>
        <v/>
      </c>
      <c r="S52" s="49" t="str">
        <f t="array" aca="1" ref="S52" ca="1">IF(ROWS($A$11:$A52)&lt;=COUNTIF('SL bán theo ngày'!$A$9:$A$82,"?*"),INDEX('SL bán theo ngày'!V$9:V$82,ROWS($A$11:$A52)),"")</f>
        <v/>
      </c>
      <c r="T52" s="49" t="str">
        <f t="array" aca="1" ref="T52" ca="1">IF(ROWS($A$11:$A52)&lt;=COUNTIF('SL bán theo ngày'!$A$9:$A$82,"?*"),INDEX('SL bán theo ngày'!W$9:W$82,ROWS($A$11:$A52)),"")</f>
        <v/>
      </c>
      <c r="U52" s="49" t="str">
        <f t="array" aca="1" ref="U52" ca="1">IF(ROWS($A$11:$A52)&lt;=COUNTIF('SL bán theo ngày'!$A$9:$A$82,"?*"),INDEX('SL bán theo ngày'!X$9:X$82,ROWS($A$11:$A52)),"")</f>
        <v/>
      </c>
      <c r="V52" s="49" t="str">
        <f t="array" aca="1" ref="V52" ca="1">IF(ROWS($A$11:$A52)&lt;=COUNTIF('SL bán theo ngày'!$A$9:$A$82,"?*"),INDEX('SL bán theo ngày'!Y$9:Y$82,ROWS($A$11:$A52)),"")</f>
        <v/>
      </c>
      <c r="W52" s="49" t="str">
        <f t="array" aca="1" ref="W52" ca="1">IF(ROWS($A$11:$A52)&lt;=COUNTIF('SL bán theo ngày'!$A$9:$A$82,"?*"),INDEX('SL bán theo ngày'!Z$9:Z$82,ROWS($A$11:$A52)),"")</f>
        <v/>
      </c>
      <c r="X52" s="49" t="str">
        <f t="array" aca="1" ref="X52" ca="1">IF(ROWS($A$11:$A52)&lt;=COUNTIF('SL bán theo ngày'!$A$9:$A$82,"?*"),INDEX('SL bán theo ngày'!AA$9:AA$82,ROWS($A$11:$A52)),"")</f>
        <v/>
      </c>
      <c r="Y52" s="49" t="str">
        <f t="array" aca="1" ref="Y52" ca="1">IF(ROWS($A$11:$A52)&lt;=COUNTIF('SL bán theo ngày'!$A$9:$A$82,"?*"),INDEX('SL bán theo ngày'!AB$9:AB$82,ROWS($A$11:$A52)),"")</f>
        <v/>
      </c>
      <c r="Z52" s="49" t="str">
        <f t="array" aca="1" ref="Z52" ca="1">IF(ROWS($A$11:$A52)&lt;=COUNTIF('SL bán theo ngày'!$A$9:$A$82,"?*"),INDEX('SL bán theo ngày'!AC$9:AC$82,ROWS($A$11:$A52)),"")</f>
        <v/>
      </c>
      <c r="AA52" s="49" t="str">
        <f t="array" aca="1" ref="AA52" ca="1">IF(ROWS($A$11:$A52)&lt;=COUNTIF('SL bán theo ngày'!$A$9:$A$82,"?*"),INDEX('SL bán theo ngày'!AD$9:AD$82,ROWS($A$11:$A52)),"")</f>
        <v/>
      </c>
      <c r="AB52" s="49" t="str">
        <f t="array" aca="1" ref="AB52" ca="1">IF(ROWS($A$11:$A52)&lt;=COUNTIF('SL bán theo ngày'!$A$9:$A$82,"?*"),INDEX('SL bán theo ngày'!AE$9:AE$82,ROWS($A$11:$A52)),"")</f>
        <v/>
      </c>
      <c r="AC52" s="49" t="str">
        <f t="array" aca="1" ref="AC52" ca="1">IF(ROWS($A$11:$A52)&lt;=COUNTIF('SL bán theo ngày'!$A$9:$A$82,"?*"),INDEX('SL bán theo ngày'!AF$9:AF$82,ROWS($A$11:$A52)),"")</f>
        <v/>
      </c>
      <c r="AD52" s="49" t="str">
        <f t="array" aca="1" ref="AD52" ca="1">IF(ROWS($A$11:$A52)&lt;=COUNTIF('SL bán theo ngày'!$A$9:$A$82,"?*"),INDEX('SL bán theo ngày'!AG$9:AG$82,ROWS($A$11:$A52)),"")</f>
        <v/>
      </c>
      <c r="AE52" s="49" t="str">
        <f t="array" aca="1" ref="AE52" ca="1">IF(ROWS($A$11:$A52)&lt;=COUNTIF('SL bán theo ngày'!$A$9:$A$82,"?*"),INDEX('SL bán theo ngày'!AH$9:AH$82,ROWS($A$11:$A52)),"")</f>
        <v/>
      </c>
      <c r="AF52" s="49" t="str">
        <f t="array" aca="1" ref="AF52" ca="1">IF(ROWS($A$11:$A52)&lt;=COUNTIF('SL bán theo ngày'!$A$9:$A$82,"?*"),INDEX('SL bán theo ngày'!AI$9:AI$82,ROWS($A$11:$A52)),"")</f>
        <v/>
      </c>
      <c r="AG52" s="49" t="str">
        <f t="array" aca="1" ref="AG52" ca="1">IF(ROWS($A$11:$A52)&lt;=COUNTIF('SL bán theo ngày'!$A$9:$A$82,"?*"),INDEX('SL bán theo ngày'!C$9:C$82,ROWS($A$11:$A52)),"")</f>
        <v/>
      </c>
      <c r="AH52" s="74" t="str">
        <f t="array" aca="1" ref="AH52" ca="1">IF(ROWS($A$11:$A52)&lt;=COUNTIF('SL bán theo ngày'!$A$9:$A$82,"?*"),INDEX('SL bán theo ngày'!D$9:D$82,ROWS($A$11:$A52)),"")</f>
        <v/>
      </c>
      <c r="AI52" s="49" t="str">
        <f t="array" aca="1" ref="AI52" ca="1">IF(ROWS($A$11:$A52)&lt;=COUNTIF('SL bán theo ngày'!$A$9:$A$82,"?*"),INDEX('SL bán theo ngày'!E$9:E$82,ROWS($A$11:$A52)),"")</f>
        <v/>
      </c>
      <c r="AJ52" s="49" t="str">
        <f t="array" aca="1" ref="AJ52" ca="1">IF(ROWS($A$11:$A52)&lt;=COUNTIF('SL bán theo ngày'!$A$9:$A$82,"?*"),INDEX('SL bán theo ngày'!AJ$9:AJ$82,ROWS($A$11:$A52)),"")</f>
        <v/>
      </c>
      <c r="AK52" s="49" t="str">
        <f t="array" aca="1" ref="AK52" ca="1">IF(ROWS($A$11:$A52)&lt;=COUNTIF('SL bán theo ngày'!$A$9:$A$82,"?*"),INDEX('SL bán theo ngày'!AK$9:AK$82,ROWS($A$11:$A52)),"")</f>
        <v/>
      </c>
    </row>
    <row r="53" spans="1:37" ht="15.75" customHeight="1" x14ac:dyDescent="0.25">
      <c r="A53" s="33" t="str">
        <f t="array" aca="1" ref="A53" ca="1">IF(ROWS($A$11:$A53)&lt;=COUNTIF('SL bán theo ngày'!$A$9:$A$82,"?*"),INDEX('SL bán theo ngày'!A$9:A$82,ROWS($A$11:$A53)),"")</f>
        <v/>
      </c>
      <c r="B53" s="37" t="str">
        <f t="array" aca="1" ref="B53" ca="1">IF(ROWS($A$11:$A53)&lt;=COUNTIF('SL bán theo ngày'!$A$9:$A$82,"?*"),INDEX('SL bán theo ngày'!B$9:B$82,ROWS($A$11:$A53)),"")</f>
        <v/>
      </c>
      <c r="C53" s="79" t="str">
        <f t="array" aca="1" ref="C53" ca="1">IF(ROWS($A$11:$A53)&lt;=COUNTIF('SL bán theo ngày'!$A$9:$A$82,"?*"),INDEX('SL bán theo ngày'!F$9:F$82,ROWS($A$11:$A53)),"")</f>
        <v/>
      </c>
      <c r="D53" s="49" t="str">
        <f t="array" aca="1" ref="D53" ca="1">IF(ROWS($A$11:$A53)&lt;=COUNTIF('SL bán theo ngày'!$A$9:$A$82,"?*"),INDEX('SL bán theo ngày'!G$9:G$82,ROWS($A$11:$A53)),"")</f>
        <v/>
      </c>
      <c r="E53" s="49" t="str">
        <f t="array" aca="1" ref="E53" ca="1">IF(ROWS($A$11:$A53)&lt;=COUNTIF('SL bán theo ngày'!$A$9:$A$82,"?*"),INDEX('SL bán theo ngày'!H$9:H$82,ROWS($A$11:$A53)),"")</f>
        <v/>
      </c>
      <c r="F53" s="49" t="str">
        <f t="array" aca="1" ref="F53" ca="1">IF(ROWS($A$11:$A53)&lt;=COUNTIF('SL bán theo ngày'!$A$9:$A$82,"?*"),INDEX('SL bán theo ngày'!I$9:I$82,ROWS($A$11:$A53)),"")</f>
        <v/>
      </c>
      <c r="G53" s="49" t="str">
        <f t="array" aca="1" ref="G53" ca="1">IF(ROWS($A$11:$A53)&lt;=COUNTIF('SL bán theo ngày'!$A$9:$A$82,"?*"),INDEX('SL bán theo ngày'!J$9:J$82,ROWS($A$11:$A53)),"")</f>
        <v/>
      </c>
      <c r="H53" s="49" t="str">
        <f t="array" aca="1" ref="H53" ca="1">IF(ROWS($A$11:$A53)&lt;=COUNTIF('SL bán theo ngày'!$A$9:$A$82,"?*"),INDEX('SL bán theo ngày'!K$9:K$82,ROWS($A$11:$A53)),"")</f>
        <v/>
      </c>
      <c r="I53" s="49" t="str">
        <f t="array" aca="1" ref="I53" ca="1">IF(ROWS($A$11:$A53)&lt;=COUNTIF('SL bán theo ngày'!$A$9:$A$82,"?*"),INDEX('SL bán theo ngày'!L$9:L$82,ROWS($A$11:$A53)),"")</f>
        <v/>
      </c>
      <c r="J53" s="49" t="str">
        <f t="array" aca="1" ref="J53" ca="1">IF(ROWS($A$11:$A53)&lt;=COUNTIF('SL bán theo ngày'!$A$9:$A$82,"?*"),INDEX('SL bán theo ngày'!M$9:M$82,ROWS($A$11:$A53)),"")</f>
        <v/>
      </c>
      <c r="K53" s="49" t="str">
        <f t="array" aca="1" ref="K53" ca="1">IF(ROWS($A$11:$A53)&lt;=COUNTIF('SL bán theo ngày'!$A$9:$A$82,"?*"),INDEX('SL bán theo ngày'!N$9:N$82,ROWS($A$11:$A53)),"")</f>
        <v/>
      </c>
      <c r="L53" s="49" t="str">
        <f t="array" aca="1" ref="L53" ca="1">IF(ROWS($A$11:$A53)&lt;=COUNTIF('SL bán theo ngày'!$A$9:$A$82,"?*"),INDEX('SL bán theo ngày'!O$9:O$82,ROWS($A$11:$A53)),"")</f>
        <v/>
      </c>
      <c r="M53" s="49" t="str">
        <f t="array" aca="1" ref="M53" ca="1">IF(ROWS($A$11:$A53)&lt;=COUNTIF('SL bán theo ngày'!$A$9:$A$82,"?*"),INDEX('SL bán theo ngày'!P$9:P$82,ROWS($A$11:$A53)),"")</f>
        <v/>
      </c>
      <c r="N53" s="49" t="str">
        <f t="array" aca="1" ref="N53" ca="1">IF(ROWS($A$11:$A53)&lt;=COUNTIF('SL bán theo ngày'!$A$9:$A$82,"?*"),INDEX('SL bán theo ngày'!Q$9:Q$82,ROWS($A$11:$A53)),"")</f>
        <v/>
      </c>
      <c r="O53" s="49" t="str">
        <f t="array" aca="1" ref="O53" ca="1">IF(ROWS($A$11:$A53)&lt;=COUNTIF('SL bán theo ngày'!$A$9:$A$82,"?*"),INDEX('SL bán theo ngày'!R$9:R$82,ROWS($A$11:$A53)),"")</f>
        <v/>
      </c>
      <c r="P53" s="49" t="str">
        <f t="array" aca="1" ref="P53" ca="1">IF(ROWS($A$11:$A53)&lt;=COUNTIF('SL bán theo ngày'!$A$9:$A$82,"?*"),INDEX('SL bán theo ngày'!S$9:S$82,ROWS($A$11:$A53)),"")</f>
        <v/>
      </c>
      <c r="Q53" s="49" t="str">
        <f t="array" aca="1" ref="Q53" ca="1">IF(ROWS($A$11:$A53)&lt;=COUNTIF('SL bán theo ngày'!$A$9:$A$82,"?*"),INDEX('SL bán theo ngày'!T$9:T$82,ROWS($A$11:$A53)),"")</f>
        <v/>
      </c>
      <c r="R53" s="49" t="str">
        <f t="array" aca="1" ref="R53" ca="1">IF(ROWS($A$11:$A53)&lt;=COUNTIF('SL bán theo ngày'!$A$9:$A$82,"?*"),INDEX('SL bán theo ngày'!U$9:U$82,ROWS($A$11:$A53)),"")</f>
        <v/>
      </c>
      <c r="S53" s="49" t="str">
        <f t="array" aca="1" ref="S53" ca="1">IF(ROWS($A$11:$A53)&lt;=COUNTIF('SL bán theo ngày'!$A$9:$A$82,"?*"),INDEX('SL bán theo ngày'!V$9:V$82,ROWS($A$11:$A53)),"")</f>
        <v/>
      </c>
      <c r="T53" s="49" t="str">
        <f t="array" aca="1" ref="T53" ca="1">IF(ROWS($A$11:$A53)&lt;=COUNTIF('SL bán theo ngày'!$A$9:$A$82,"?*"),INDEX('SL bán theo ngày'!W$9:W$82,ROWS($A$11:$A53)),"")</f>
        <v/>
      </c>
      <c r="U53" s="49" t="str">
        <f t="array" aca="1" ref="U53" ca="1">IF(ROWS($A$11:$A53)&lt;=COUNTIF('SL bán theo ngày'!$A$9:$A$82,"?*"),INDEX('SL bán theo ngày'!X$9:X$82,ROWS($A$11:$A53)),"")</f>
        <v/>
      </c>
      <c r="V53" s="49" t="str">
        <f t="array" aca="1" ref="V53" ca="1">IF(ROWS($A$11:$A53)&lt;=COUNTIF('SL bán theo ngày'!$A$9:$A$82,"?*"),INDEX('SL bán theo ngày'!Y$9:Y$82,ROWS($A$11:$A53)),"")</f>
        <v/>
      </c>
      <c r="W53" s="49" t="str">
        <f t="array" aca="1" ref="W53" ca="1">IF(ROWS($A$11:$A53)&lt;=COUNTIF('SL bán theo ngày'!$A$9:$A$82,"?*"),INDEX('SL bán theo ngày'!Z$9:Z$82,ROWS($A$11:$A53)),"")</f>
        <v/>
      </c>
      <c r="X53" s="49" t="str">
        <f t="array" aca="1" ref="X53" ca="1">IF(ROWS($A$11:$A53)&lt;=COUNTIF('SL bán theo ngày'!$A$9:$A$82,"?*"),INDEX('SL bán theo ngày'!AA$9:AA$82,ROWS($A$11:$A53)),"")</f>
        <v/>
      </c>
      <c r="Y53" s="49" t="str">
        <f t="array" aca="1" ref="Y53" ca="1">IF(ROWS($A$11:$A53)&lt;=COUNTIF('SL bán theo ngày'!$A$9:$A$82,"?*"),INDEX('SL bán theo ngày'!AB$9:AB$82,ROWS($A$11:$A53)),"")</f>
        <v/>
      </c>
      <c r="Z53" s="49" t="str">
        <f t="array" aca="1" ref="Z53" ca="1">IF(ROWS($A$11:$A53)&lt;=COUNTIF('SL bán theo ngày'!$A$9:$A$82,"?*"),INDEX('SL bán theo ngày'!AC$9:AC$82,ROWS($A$11:$A53)),"")</f>
        <v/>
      </c>
      <c r="AA53" s="49" t="str">
        <f t="array" aca="1" ref="AA53" ca="1">IF(ROWS($A$11:$A53)&lt;=COUNTIF('SL bán theo ngày'!$A$9:$A$82,"?*"),INDEX('SL bán theo ngày'!AD$9:AD$82,ROWS($A$11:$A53)),"")</f>
        <v/>
      </c>
      <c r="AB53" s="49" t="str">
        <f t="array" aca="1" ref="AB53" ca="1">IF(ROWS($A$11:$A53)&lt;=COUNTIF('SL bán theo ngày'!$A$9:$A$82,"?*"),INDEX('SL bán theo ngày'!AE$9:AE$82,ROWS($A$11:$A53)),"")</f>
        <v/>
      </c>
      <c r="AC53" s="49" t="str">
        <f t="array" aca="1" ref="AC53" ca="1">IF(ROWS($A$11:$A53)&lt;=COUNTIF('SL bán theo ngày'!$A$9:$A$82,"?*"),INDEX('SL bán theo ngày'!AF$9:AF$82,ROWS($A$11:$A53)),"")</f>
        <v/>
      </c>
      <c r="AD53" s="49" t="str">
        <f t="array" aca="1" ref="AD53" ca="1">IF(ROWS($A$11:$A53)&lt;=COUNTIF('SL bán theo ngày'!$A$9:$A$82,"?*"),INDEX('SL bán theo ngày'!AG$9:AG$82,ROWS($A$11:$A53)),"")</f>
        <v/>
      </c>
      <c r="AE53" s="49" t="str">
        <f t="array" aca="1" ref="AE53" ca="1">IF(ROWS($A$11:$A53)&lt;=COUNTIF('SL bán theo ngày'!$A$9:$A$82,"?*"),INDEX('SL bán theo ngày'!AH$9:AH$82,ROWS($A$11:$A53)),"")</f>
        <v/>
      </c>
      <c r="AF53" s="49" t="str">
        <f t="array" aca="1" ref="AF53" ca="1">IF(ROWS($A$11:$A53)&lt;=COUNTIF('SL bán theo ngày'!$A$9:$A$82,"?*"),INDEX('SL bán theo ngày'!AI$9:AI$82,ROWS($A$11:$A53)),"")</f>
        <v/>
      </c>
      <c r="AG53" s="49" t="str">
        <f t="array" aca="1" ref="AG53" ca="1">IF(ROWS($A$11:$A53)&lt;=COUNTIF('SL bán theo ngày'!$A$9:$A$82,"?*"),INDEX('SL bán theo ngày'!C$9:C$82,ROWS($A$11:$A53)),"")</f>
        <v/>
      </c>
      <c r="AH53" s="74" t="str">
        <f t="array" aca="1" ref="AH53" ca="1">IF(ROWS($A$11:$A53)&lt;=COUNTIF('SL bán theo ngày'!$A$9:$A$82,"?*"),INDEX('SL bán theo ngày'!D$9:D$82,ROWS($A$11:$A53)),"")</f>
        <v/>
      </c>
      <c r="AI53" s="49" t="str">
        <f t="array" aca="1" ref="AI53" ca="1">IF(ROWS($A$11:$A53)&lt;=COUNTIF('SL bán theo ngày'!$A$9:$A$82,"?*"),INDEX('SL bán theo ngày'!E$9:E$82,ROWS($A$11:$A53)),"")</f>
        <v/>
      </c>
      <c r="AJ53" s="49" t="str">
        <f t="array" aca="1" ref="AJ53" ca="1">IF(ROWS($A$11:$A53)&lt;=COUNTIF('SL bán theo ngày'!$A$9:$A$82,"?*"),INDEX('SL bán theo ngày'!AJ$9:AJ$82,ROWS($A$11:$A53)),"")</f>
        <v/>
      </c>
      <c r="AK53" s="49" t="str">
        <f t="array" aca="1" ref="AK53" ca="1">IF(ROWS($A$11:$A53)&lt;=COUNTIF('SL bán theo ngày'!$A$9:$A$82,"?*"),INDEX('SL bán theo ngày'!AK$9:AK$82,ROWS($A$11:$A53)),"")</f>
        <v/>
      </c>
    </row>
    <row r="54" spans="1:37" ht="15.75" customHeight="1" x14ac:dyDescent="0.25">
      <c r="A54" s="33" t="str">
        <f t="array" aca="1" ref="A54" ca="1">IF(ROWS($A$11:$A54)&lt;=COUNTIF('SL bán theo ngày'!$A$9:$A$82,"?*"),INDEX('SL bán theo ngày'!A$9:A$82,ROWS($A$11:$A54)),"")</f>
        <v/>
      </c>
      <c r="B54" s="37" t="str">
        <f t="array" aca="1" ref="B54" ca="1">IF(ROWS($A$11:$A54)&lt;=COUNTIF('SL bán theo ngày'!$A$9:$A$82,"?*"),INDEX('SL bán theo ngày'!B$9:B$82,ROWS($A$11:$A54)),"")</f>
        <v/>
      </c>
      <c r="C54" s="79" t="str">
        <f t="array" aca="1" ref="C54" ca="1">IF(ROWS($A$11:$A54)&lt;=COUNTIF('SL bán theo ngày'!$A$9:$A$82,"?*"),INDEX('SL bán theo ngày'!F$9:F$82,ROWS($A$11:$A54)),"")</f>
        <v/>
      </c>
      <c r="D54" s="49" t="str">
        <f t="array" aca="1" ref="D54" ca="1">IF(ROWS($A$11:$A54)&lt;=COUNTIF('SL bán theo ngày'!$A$9:$A$82,"?*"),INDEX('SL bán theo ngày'!G$9:G$82,ROWS($A$11:$A54)),"")</f>
        <v/>
      </c>
      <c r="E54" s="49" t="str">
        <f t="array" aca="1" ref="E54" ca="1">IF(ROWS($A$11:$A54)&lt;=COUNTIF('SL bán theo ngày'!$A$9:$A$82,"?*"),INDEX('SL bán theo ngày'!H$9:H$82,ROWS($A$11:$A54)),"")</f>
        <v/>
      </c>
      <c r="F54" s="49" t="str">
        <f t="array" aca="1" ref="F54" ca="1">IF(ROWS($A$11:$A54)&lt;=COUNTIF('SL bán theo ngày'!$A$9:$A$82,"?*"),INDEX('SL bán theo ngày'!I$9:I$82,ROWS($A$11:$A54)),"")</f>
        <v/>
      </c>
      <c r="G54" s="49" t="str">
        <f t="array" aca="1" ref="G54" ca="1">IF(ROWS($A$11:$A54)&lt;=COUNTIF('SL bán theo ngày'!$A$9:$A$82,"?*"),INDEX('SL bán theo ngày'!J$9:J$82,ROWS($A$11:$A54)),"")</f>
        <v/>
      </c>
      <c r="H54" s="49" t="str">
        <f t="array" aca="1" ref="H54" ca="1">IF(ROWS($A$11:$A54)&lt;=COUNTIF('SL bán theo ngày'!$A$9:$A$82,"?*"),INDEX('SL bán theo ngày'!K$9:K$82,ROWS($A$11:$A54)),"")</f>
        <v/>
      </c>
      <c r="I54" s="49" t="str">
        <f t="array" aca="1" ref="I54" ca="1">IF(ROWS($A$11:$A54)&lt;=COUNTIF('SL bán theo ngày'!$A$9:$A$82,"?*"),INDEX('SL bán theo ngày'!L$9:L$82,ROWS($A$11:$A54)),"")</f>
        <v/>
      </c>
      <c r="J54" s="49" t="str">
        <f t="array" aca="1" ref="J54" ca="1">IF(ROWS($A$11:$A54)&lt;=COUNTIF('SL bán theo ngày'!$A$9:$A$82,"?*"),INDEX('SL bán theo ngày'!M$9:M$82,ROWS($A$11:$A54)),"")</f>
        <v/>
      </c>
      <c r="K54" s="49" t="str">
        <f t="array" aca="1" ref="K54" ca="1">IF(ROWS($A$11:$A54)&lt;=COUNTIF('SL bán theo ngày'!$A$9:$A$82,"?*"),INDEX('SL bán theo ngày'!N$9:N$82,ROWS($A$11:$A54)),"")</f>
        <v/>
      </c>
      <c r="L54" s="49" t="str">
        <f t="array" aca="1" ref="L54" ca="1">IF(ROWS($A$11:$A54)&lt;=COUNTIF('SL bán theo ngày'!$A$9:$A$82,"?*"),INDEX('SL bán theo ngày'!O$9:O$82,ROWS($A$11:$A54)),"")</f>
        <v/>
      </c>
      <c r="M54" s="49" t="str">
        <f t="array" aca="1" ref="M54" ca="1">IF(ROWS($A$11:$A54)&lt;=COUNTIF('SL bán theo ngày'!$A$9:$A$82,"?*"),INDEX('SL bán theo ngày'!P$9:P$82,ROWS($A$11:$A54)),"")</f>
        <v/>
      </c>
      <c r="N54" s="49" t="str">
        <f t="array" aca="1" ref="N54" ca="1">IF(ROWS($A$11:$A54)&lt;=COUNTIF('SL bán theo ngày'!$A$9:$A$82,"?*"),INDEX('SL bán theo ngày'!Q$9:Q$82,ROWS($A$11:$A54)),"")</f>
        <v/>
      </c>
      <c r="O54" s="49" t="str">
        <f t="array" aca="1" ref="O54" ca="1">IF(ROWS($A$11:$A54)&lt;=COUNTIF('SL bán theo ngày'!$A$9:$A$82,"?*"),INDEX('SL bán theo ngày'!R$9:R$82,ROWS($A$11:$A54)),"")</f>
        <v/>
      </c>
      <c r="P54" s="49" t="str">
        <f t="array" aca="1" ref="P54" ca="1">IF(ROWS($A$11:$A54)&lt;=COUNTIF('SL bán theo ngày'!$A$9:$A$82,"?*"),INDEX('SL bán theo ngày'!S$9:S$82,ROWS($A$11:$A54)),"")</f>
        <v/>
      </c>
      <c r="Q54" s="49" t="str">
        <f t="array" aca="1" ref="Q54" ca="1">IF(ROWS($A$11:$A54)&lt;=COUNTIF('SL bán theo ngày'!$A$9:$A$82,"?*"),INDEX('SL bán theo ngày'!T$9:T$82,ROWS($A$11:$A54)),"")</f>
        <v/>
      </c>
      <c r="R54" s="49" t="str">
        <f t="array" aca="1" ref="R54" ca="1">IF(ROWS($A$11:$A54)&lt;=COUNTIF('SL bán theo ngày'!$A$9:$A$82,"?*"),INDEX('SL bán theo ngày'!U$9:U$82,ROWS($A$11:$A54)),"")</f>
        <v/>
      </c>
      <c r="S54" s="49" t="str">
        <f t="array" aca="1" ref="S54" ca="1">IF(ROWS($A$11:$A54)&lt;=COUNTIF('SL bán theo ngày'!$A$9:$A$82,"?*"),INDEX('SL bán theo ngày'!V$9:V$82,ROWS($A$11:$A54)),"")</f>
        <v/>
      </c>
      <c r="T54" s="49" t="str">
        <f t="array" aca="1" ref="T54" ca="1">IF(ROWS($A$11:$A54)&lt;=COUNTIF('SL bán theo ngày'!$A$9:$A$82,"?*"),INDEX('SL bán theo ngày'!W$9:W$82,ROWS($A$11:$A54)),"")</f>
        <v/>
      </c>
      <c r="U54" s="49" t="str">
        <f t="array" aca="1" ref="U54" ca="1">IF(ROWS($A$11:$A54)&lt;=COUNTIF('SL bán theo ngày'!$A$9:$A$82,"?*"),INDEX('SL bán theo ngày'!X$9:X$82,ROWS($A$11:$A54)),"")</f>
        <v/>
      </c>
      <c r="V54" s="49" t="str">
        <f t="array" aca="1" ref="V54" ca="1">IF(ROWS($A$11:$A54)&lt;=COUNTIF('SL bán theo ngày'!$A$9:$A$82,"?*"),INDEX('SL bán theo ngày'!Y$9:Y$82,ROWS($A$11:$A54)),"")</f>
        <v/>
      </c>
      <c r="W54" s="49" t="str">
        <f t="array" aca="1" ref="W54" ca="1">IF(ROWS($A$11:$A54)&lt;=COUNTIF('SL bán theo ngày'!$A$9:$A$82,"?*"),INDEX('SL bán theo ngày'!Z$9:Z$82,ROWS($A$11:$A54)),"")</f>
        <v/>
      </c>
      <c r="X54" s="49" t="str">
        <f t="array" aca="1" ref="X54" ca="1">IF(ROWS($A$11:$A54)&lt;=COUNTIF('SL bán theo ngày'!$A$9:$A$82,"?*"),INDEX('SL bán theo ngày'!AA$9:AA$82,ROWS($A$11:$A54)),"")</f>
        <v/>
      </c>
      <c r="Y54" s="49" t="str">
        <f t="array" aca="1" ref="Y54" ca="1">IF(ROWS($A$11:$A54)&lt;=COUNTIF('SL bán theo ngày'!$A$9:$A$82,"?*"),INDEX('SL bán theo ngày'!AB$9:AB$82,ROWS($A$11:$A54)),"")</f>
        <v/>
      </c>
      <c r="Z54" s="49" t="str">
        <f t="array" aca="1" ref="Z54" ca="1">IF(ROWS($A$11:$A54)&lt;=COUNTIF('SL bán theo ngày'!$A$9:$A$82,"?*"),INDEX('SL bán theo ngày'!AC$9:AC$82,ROWS($A$11:$A54)),"")</f>
        <v/>
      </c>
      <c r="AA54" s="49" t="str">
        <f t="array" aca="1" ref="AA54" ca="1">IF(ROWS($A$11:$A54)&lt;=COUNTIF('SL bán theo ngày'!$A$9:$A$82,"?*"),INDEX('SL bán theo ngày'!AD$9:AD$82,ROWS($A$11:$A54)),"")</f>
        <v/>
      </c>
      <c r="AB54" s="49" t="str">
        <f t="array" aca="1" ref="AB54" ca="1">IF(ROWS($A$11:$A54)&lt;=COUNTIF('SL bán theo ngày'!$A$9:$A$82,"?*"),INDEX('SL bán theo ngày'!AE$9:AE$82,ROWS($A$11:$A54)),"")</f>
        <v/>
      </c>
      <c r="AC54" s="49" t="str">
        <f t="array" aca="1" ref="AC54" ca="1">IF(ROWS($A$11:$A54)&lt;=COUNTIF('SL bán theo ngày'!$A$9:$A$82,"?*"),INDEX('SL bán theo ngày'!AF$9:AF$82,ROWS($A$11:$A54)),"")</f>
        <v/>
      </c>
      <c r="AD54" s="49" t="str">
        <f t="array" aca="1" ref="AD54" ca="1">IF(ROWS($A$11:$A54)&lt;=COUNTIF('SL bán theo ngày'!$A$9:$A$82,"?*"),INDEX('SL bán theo ngày'!AG$9:AG$82,ROWS($A$11:$A54)),"")</f>
        <v/>
      </c>
      <c r="AE54" s="49" t="str">
        <f t="array" aca="1" ref="AE54" ca="1">IF(ROWS($A$11:$A54)&lt;=COUNTIF('SL bán theo ngày'!$A$9:$A$82,"?*"),INDEX('SL bán theo ngày'!AH$9:AH$82,ROWS($A$11:$A54)),"")</f>
        <v/>
      </c>
      <c r="AF54" s="49" t="str">
        <f t="array" aca="1" ref="AF54" ca="1">IF(ROWS($A$11:$A54)&lt;=COUNTIF('SL bán theo ngày'!$A$9:$A$82,"?*"),INDEX('SL bán theo ngày'!AI$9:AI$82,ROWS($A$11:$A54)),"")</f>
        <v/>
      </c>
      <c r="AG54" s="49" t="str">
        <f t="array" aca="1" ref="AG54" ca="1">IF(ROWS($A$11:$A54)&lt;=COUNTIF('SL bán theo ngày'!$A$9:$A$82,"?*"),INDEX('SL bán theo ngày'!C$9:C$82,ROWS($A$11:$A54)),"")</f>
        <v/>
      </c>
      <c r="AH54" s="74" t="str">
        <f t="array" aca="1" ref="AH54" ca="1">IF(ROWS($A$11:$A54)&lt;=COUNTIF('SL bán theo ngày'!$A$9:$A$82,"?*"),INDEX('SL bán theo ngày'!D$9:D$82,ROWS($A$11:$A54)),"")</f>
        <v/>
      </c>
      <c r="AI54" s="49" t="str">
        <f t="array" aca="1" ref="AI54" ca="1">IF(ROWS($A$11:$A54)&lt;=COUNTIF('SL bán theo ngày'!$A$9:$A$82,"?*"),INDEX('SL bán theo ngày'!E$9:E$82,ROWS($A$11:$A54)),"")</f>
        <v/>
      </c>
      <c r="AJ54" s="49" t="str">
        <f t="array" aca="1" ref="AJ54" ca="1">IF(ROWS($A$11:$A54)&lt;=COUNTIF('SL bán theo ngày'!$A$9:$A$82,"?*"),INDEX('SL bán theo ngày'!AJ$9:AJ$82,ROWS($A$11:$A54)),"")</f>
        <v/>
      </c>
      <c r="AK54" s="49" t="str">
        <f t="array" aca="1" ref="AK54" ca="1">IF(ROWS($A$11:$A54)&lt;=COUNTIF('SL bán theo ngày'!$A$9:$A$82,"?*"),INDEX('SL bán theo ngày'!AK$9:AK$82,ROWS($A$11:$A54)),"")</f>
        <v/>
      </c>
    </row>
    <row r="55" spans="1:37" ht="15.75" customHeight="1" x14ac:dyDescent="0.25">
      <c r="A55" s="33" t="str">
        <f t="array" aca="1" ref="A55" ca="1">IF(ROWS($A$11:$A55)&lt;=COUNTIF('SL bán theo ngày'!$A$9:$A$82,"?*"),INDEX('SL bán theo ngày'!A$9:A$82,ROWS($A$11:$A55)),"")</f>
        <v/>
      </c>
      <c r="B55" s="37" t="str">
        <f t="array" aca="1" ref="B55" ca="1">IF(ROWS($A$11:$A55)&lt;=COUNTIF('SL bán theo ngày'!$A$9:$A$82,"?*"),INDEX('SL bán theo ngày'!B$9:B$82,ROWS($A$11:$A55)),"")</f>
        <v/>
      </c>
      <c r="C55" s="79" t="str">
        <f t="array" aca="1" ref="C55" ca="1">IF(ROWS($A$11:$A55)&lt;=COUNTIF('SL bán theo ngày'!$A$9:$A$82,"?*"),INDEX('SL bán theo ngày'!F$9:F$82,ROWS($A$11:$A55)),"")</f>
        <v/>
      </c>
      <c r="D55" s="49" t="str">
        <f t="array" aca="1" ref="D55" ca="1">IF(ROWS($A$11:$A55)&lt;=COUNTIF('SL bán theo ngày'!$A$9:$A$82,"?*"),INDEX('SL bán theo ngày'!G$9:G$82,ROWS($A$11:$A55)),"")</f>
        <v/>
      </c>
      <c r="E55" s="49" t="str">
        <f t="array" aca="1" ref="E55" ca="1">IF(ROWS($A$11:$A55)&lt;=COUNTIF('SL bán theo ngày'!$A$9:$A$82,"?*"),INDEX('SL bán theo ngày'!H$9:H$82,ROWS($A$11:$A55)),"")</f>
        <v/>
      </c>
      <c r="F55" s="49" t="str">
        <f t="array" aca="1" ref="F55" ca="1">IF(ROWS($A$11:$A55)&lt;=COUNTIF('SL bán theo ngày'!$A$9:$A$82,"?*"),INDEX('SL bán theo ngày'!I$9:I$82,ROWS($A$11:$A55)),"")</f>
        <v/>
      </c>
      <c r="G55" s="49" t="str">
        <f t="array" aca="1" ref="G55" ca="1">IF(ROWS($A$11:$A55)&lt;=COUNTIF('SL bán theo ngày'!$A$9:$A$82,"?*"),INDEX('SL bán theo ngày'!J$9:J$82,ROWS($A$11:$A55)),"")</f>
        <v/>
      </c>
      <c r="H55" s="49" t="str">
        <f t="array" aca="1" ref="H55" ca="1">IF(ROWS($A$11:$A55)&lt;=COUNTIF('SL bán theo ngày'!$A$9:$A$82,"?*"),INDEX('SL bán theo ngày'!K$9:K$82,ROWS($A$11:$A55)),"")</f>
        <v/>
      </c>
      <c r="I55" s="49" t="str">
        <f t="array" aca="1" ref="I55" ca="1">IF(ROWS($A$11:$A55)&lt;=COUNTIF('SL bán theo ngày'!$A$9:$A$82,"?*"),INDEX('SL bán theo ngày'!L$9:L$82,ROWS($A$11:$A55)),"")</f>
        <v/>
      </c>
      <c r="J55" s="49" t="str">
        <f t="array" aca="1" ref="J55" ca="1">IF(ROWS($A$11:$A55)&lt;=COUNTIF('SL bán theo ngày'!$A$9:$A$82,"?*"),INDEX('SL bán theo ngày'!M$9:M$82,ROWS($A$11:$A55)),"")</f>
        <v/>
      </c>
      <c r="K55" s="49" t="str">
        <f t="array" aca="1" ref="K55" ca="1">IF(ROWS($A$11:$A55)&lt;=COUNTIF('SL bán theo ngày'!$A$9:$A$82,"?*"),INDEX('SL bán theo ngày'!N$9:N$82,ROWS($A$11:$A55)),"")</f>
        <v/>
      </c>
      <c r="L55" s="49" t="str">
        <f t="array" aca="1" ref="L55" ca="1">IF(ROWS($A$11:$A55)&lt;=COUNTIF('SL bán theo ngày'!$A$9:$A$82,"?*"),INDEX('SL bán theo ngày'!O$9:O$82,ROWS($A$11:$A55)),"")</f>
        <v/>
      </c>
      <c r="M55" s="49" t="str">
        <f t="array" aca="1" ref="M55" ca="1">IF(ROWS($A$11:$A55)&lt;=COUNTIF('SL bán theo ngày'!$A$9:$A$82,"?*"),INDEX('SL bán theo ngày'!P$9:P$82,ROWS($A$11:$A55)),"")</f>
        <v/>
      </c>
      <c r="N55" s="49" t="str">
        <f t="array" aca="1" ref="N55" ca="1">IF(ROWS($A$11:$A55)&lt;=COUNTIF('SL bán theo ngày'!$A$9:$A$82,"?*"),INDEX('SL bán theo ngày'!Q$9:Q$82,ROWS($A$11:$A55)),"")</f>
        <v/>
      </c>
      <c r="O55" s="49" t="str">
        <f t="array" aca="1" ref="O55" ca="1">IF(ROWS($A$11:$A55)&lt;=COUNTIF('SL bán theo ngày'!$A$9:$A$82,"?*"),INDEX('SL bán theo ngày'!R$9:R$82,ROWS($A$11:$A55)),"")</f>
        <v/>
      </c>
      <c r="P55" s="49" t="str">
        <f t="array" aca="1" ref="P55" ca="1">IF(ROWS($A$11:$A55)&lt;=COUNTIF('SL bán theo ngày'!$A$9:$A$82,"?*"),INDEX('SL bán theo ngày'!S$9:S$82,ROWS($A$11:$A55)),"")</f>
        <v/>
      </c>
      <c r="Q55" s="49" t="str">
        <f t="array" aca="1" ref="Q55" ca="1">IF(ROWS($A$11:$A55)&lt;=COUNTIF('SL bán theo ngày'!$A$9:$A$82,"?*"),INDEX('SL bán theo ngày'!T$9:T$82,ROWS($A$11:$A55)),"")</f>
        <v/>
      </c>
      <c r="R55" s="49" t="str">
        <f t="array" aca="1" ref="R55" ca="1">IF(ROWS($A$11:$A55)&lt;=COUNTIF('SL bán theo ngày'!$A$9:$A$82,"?*"),INDEX('SL bán theo ngày'!U$9:U$82,ROWS($A$11:$A55)),"")</f>
        <v/>
      </c>
      <c r="S55" s="49" t="str">
        <f t="array" aca="1" ref="S55" ca="1">IF(ROWS($A$11:$A55)&lt;=COUNTIF('SL bán theo ngày'!$A$9:$A$82,"?*"),INDEX('SL bán theo ngày'!V$9:V$82,ROWS($A$11:$A55)),"")</f>
        <v/>
      </c>
      <c r="T55" s="49" t="str">
        <f t="array" aca="1" ref="T55" ca="1">IF(ROWS($A$11:$A55)&lt;=COUNTIF('SL bán theo ngày'!$A$9:$A$82,"?*"),INDEX('SL bán theo ngày'!W$9:W$82,ROWS($A$11:$A55)),"")</f>
        <v/>
      </c>
      <c r="U55" s="49" t="str">
        <f t="array" aca="1" ref="U55" ca="1">IF(ROWS($A$11:$A55)&lt;=COUNTIF('SL bán theo ngày'!$A$9:$A$82,"?*"),INDEX('SL bán theo ngày'!X$9:X$82,ROWS($A$11:$A55)),"")</f>
        <v/>
      </c>
      <c r="V55" s="49" t="str">
        <f t="array" aca="1" ref="V55" ca="1">IF(ROWS($A$11:$A55)&lt;=COUNTIF('SL bán theo ngày'!$A$9:$A$82,"?*"),INDEX('SL bán theo ngày'!Y$9:Y$82,ROWS($A$11:$A55)),"")</f>
        <v/>
      </c>
      <c r="W55" s="49" t="str">
        <f t="array" aca="1" ref="W55" ca="1">IF(ROWS($A$11:$A55)&lt;=COUNTIF('SL bán theo ngày'!$A$9:$A$82,"?*"),INDEX('SL bán theo ngày'!Z$9:Z$82,ROWS($A$11:$A55)),"")</f>
        <v/>
      </c>
      <c r="X55" s="49" t="str">
        <f t="array" aca="1" ref="X55" ca="1">IF(ROWS($A$11:$A55)&lt;=COUNTIF('SL bán theo ngày'!$A$9:$A$82,"?*"),INDEX('SL bán theo ngày'!AA$9:AA$82,ROWS($A$11:$A55)),"")</f>
        <v/>
      </c>
      <c r="Y55" s="49" t="str">
        <f t="array" aca="1" ref="Y55" ca="1">IF(ROWS($A$11:$A55)&lt;=COUNTIF('SL bán theo ngày'!$A$9:$A$82,"?*"),INDEX('SL bán theo ngày'!AB$9:AB$82,ROWS($A$11:$A55)),"")</f>
        <v/>
      </c>
      <c r="Z55" s="49" t="str">
        <f t="array" aca="1" ref="Z55" ca="1">IF(ROWS($A$11:$A55)&lt;=COUNTIF('SL bán theo ngày'!$A$9:$A$82,"?*"),INDEX('SL bán theo ngày'!AC$9:AC$82,ROWS($A$11:$A55)),"")</f>
        <v/>
      </c>
      <c r="AA55" s="49" t="str">
        <f t="array" aca="1" ref="AA55" ca="1">IF(ROWS($A$11:$A55)&lt;=COUNTIF('SL bán theo ngày'!$A$9:$A$82,"?*"),INDEX('SL bán theo ngày'!AD$9:AD$82,ROWS($A$11:$A55)),"")</f>
        <v/>
      </c>
      <c r="AB55" s="49" t="str">
        <f t="array" aca="1" ref="AB55" ca="1">IF(ROWS($A$11:$A55)&lt;=COUNTIF('SL bán theo ngày'!$A$9:$A$82,"?*"),INDEX('SL bán theo ngày'!AE$9:AE$82,ROWS($A$11:$A55)),"")</f>
        <v/>
      </c>
      <c r="AC55" s="49" t="str">
        <f t="array" aca="1" ref="AC55" ca="1">IF(ROWS($A$11:$A55)&lt;=COUNTIF('SL bán theo ngày'!$A$9:$A$82,"?*"),INDEX('SL bán theo ngày'!AF$9:AF$82,ROWS($A$11:$A55)),"")</f>
        <v/>
      </c>
      <c r="AD55" s="49" t="str">
        <f t="array" aca="1" ref="AD55" ca="1">IF(ROWS($A$11:$A55)&lt;=COUNTIF('SL bán theo ngày'!$A$9:$A$82,"?*"),INDEX('SL bán theo ngày'!AG$9:AG$82,ROWS($A$11:$A55)),"")</f>
        <v/>
      </c>
      <c r="AE55" s="49" t="str">
        <f t="array" aca="1" ref="AE55" ca="1">IF(ROWS($A$11:$A55)&lt;=COUNTIF('SL bán theo ngày'!$A$9:$A$82,"?*"),INDEX('SL bán theo ngày'!AH$9:AH$82,ROWS($A$11:$A55)),"")</f>
        <v/>
      </c>
      <c r="AF55" s="49" t="str">
        <f t="array" aca="1" ref="AF55" ca="1">IF(ROWS($A$11:$A55)&lt;=COUNTIF('SL bán theo ngày'!$A$9:$A$82,"?*"),INDEX('SL bán theo ngày'!AI$9:AI$82,ROWS($A$11:$A55)),"")</f>
        <v/>
      </c>
      <c r="AG55" s="49" t="str">
        <f t="array" aca="1" ref="AG55" ca="1">IF(ROWS($A$11:$A55)&lt;=COUNTIF('SL bán theo ngày'!$A$9:$A$82,"?*"),INDEX('SL bán theo ngày'!C$9:C$82,ROWS($A$11:$A55)),"")</f>
        <v/>
      </c>
      <c r="AH55" s="74" t="str">
        <f t="array" aca="1" ref="AH55" ca="1">IF(ROWS($A$11:$A55)&lt;=COUNTIF('SL bán theo ngày'!$A$9:$A$82,"?*"),INDEX('SL bán theo ngày'!D$9:D$82,ROWS($A$11:$A55)),"")</f>
        <v/>
      </c>
      <c r="AI55" s="49" t="str">
        <f t="array" aca="1" ref="AI55" ca="1">IF(ROWS($A$11:$A55)&lt;=COUNTIF('SL bán theo ngày'!$A$9:$A$82,"?*"),INDEX('SL bán theo ngày'!E$9:E$82,ROWS($A$11:$A55)),"")</f>
        <v/>
      </c>
      <c r="AJ55" s="49" t="str">
        <f t="array" aca="1" ref="AJ55" ca="1">IF(ROWS($A$11:$A55)&lt;=COUNTIF('SL bán theo ngày'!$A$9:$A$82,"?*"),INDEX('SL bán theo ngày'!AJ$9:AJ$82,ROWS($A$11:$A55)),"")</f>
        <v/>
      </c>
      <c r="AK55" s="49" t="str">
        <f t="array" aca="1" ref="AK55" ca="1">IF(ROWS($A$11:$A55)&lt;=COUNTIF('SL bán theo ngày'!$A$9:$A$82,"?*"),INDEX('SL bán theo ngày'!AK$9:AK$82,ROWS($A$11:$A55)),"")</f>
        <v/>
      </c>
    </row>
    <row r="56" spans="1:37" ht="15.75" customHeight="1" x14ac:dyDescent="0.25">
      <c r="A56" s="33" t="str">
        <f t="array" aca="1" ref="A56" ca="1">IF(ROWS($A$11:$A56)&lt;=COUNTIF('SL bán theo ngày'!$A$9:$A$82,"?*"),INDEX('SL bán theo ngày'!A$9:A$82,ROWS($A$11:$A56)),"")</f>
        <v/>
      </c>
      <c r="B56" s="37" t="str">
        <f t="array" aca="1" ref="B56" ca="1">IF(ROWS($A$11:$A56)&lt;=COUNTIF('SL bán theo ngày'!$A$9:$A$82,"?*"),INDEX('SL bán theo ngày'!B$9:B$82,ROWS($A$11:$A56)),"")</f>
        <v/>
      </c>
      <c r="C56" s="79" t="str">
        <f t="array" aca="1" ref="C56" ca="1">IF(ROWS($A$11:$A56)&lt;=COUNTIF('SL bán theo ngày'!$A$9:$A$82,"?*"),INDEX('SL bán theo ngày'!F$9:F$82,ROWS($A$11:$A56)),"")</f>
        <v/>
      </c>
      <c r="D56" s="49" t="str">
        <f t="array" aca="1" ref="D56" ca="1">IF(ROWS($A$11:$A56)&lt;=COUNTIF('SL bán theo ngày'!$A$9:$A$82,"?*"),INDEX('SL bán theo ngày'!G$9:G$82,ROWS($A$11:$A56)),"")</f>
        <v/>
      </c>
      <c r="E56" s="49" t="str">
        <f t="array" aca="1" ref="E56" ca="1">IF(ROWS($A$11:$A56)&lt;=COUNTIF('SL bán theo ngày'!$A$9:$A$82,"?*"),INDEX('SL bán theo ngày'!H$9:H$82,ROWS($A$11:$A56)),"")</f>
        <v/>
      </c>
      <c r="F56" s="49" t="str">
        <f t="array" aca="1" ref="F56" ca="1">IF(ROWS($A$11:$A56)&lt;=COUNTIF('SL bán theo ngày'!$A$9:$A$82,"?*"),INDEX('SL bán theo ngày'!I$9:I$82,ROWS($A$11:$A56)),"")</f>
        <v/>
      </c>
      <c r="G56" s="49" t="str">
        <f t="array" aca="1" ref="G56" ca="1">IF(ROWS($A$11:$A56)&lt;=COUNTIF('SL bán theo ngày'!$A$9:$A$82,"?*"),INDEX('SL bán theo ngày'!J$9:J$82,ROWS($A$11:$A56)),"")</f>
        <v/>
      </c>
      <c r="H56" s="49" t="str">
        <f t="array" aca="1" ref="H56" ca="1">IF(ROWS($A$11:$A56)&lt;=COUNTIF('SL bán theo ngày'!$A$9:$A$82,"?*"),INDEX('SL bán theo ngày'!K$9:K$82,ROWS($A$11:$A56)),"")</f>
        <v/>
      </c>
      <c r="I56" s="49" t="str">
        <f t="array" aca="1" ref="I56" ca="1">IF(ROWS($A$11:$A56)&lt;=COUNTIF('SL bán theo ngày'!$A$9:$A$82,"?*"),INDEX('SL bán theo ngày'!L$9:L$82,ROWS($A$11:$A56)),"")</f>
        <v/>
      </c>
      <c r="J56" s="49" t="str">
        <f t="array" aca="1" ref="J56" ca="1">IF(ROWS($A$11:$A56)&lt;=COUNTIF('SL bán theo ngày'!$A$9:$A$82,"?*"),INDEX('SL bán theo ngày'!M$9:M$82,ROWS($A$11:$A56)),"")</f>
        <v/>
      </c>
      <c r="K56" s="49" t="str">
        <f t="array" aca="1" ref="K56" ca="1">IF(ROWS($A$11:$A56)&lt;=COUNTIF('SL bán theo ngày'!$A$9:$A$82,"?*"),INDEX('SL bán theo ngày'!N$9:N$82,ROWS($A$11:$A56)),"")</f>
        <v/>
      </c>
      <c r="L56" s="49" t="str">
        <f t="array" aca="1" ref="L56" ca="1">IF(ROWS($A$11:$A56)&lt;=COUNTIF('SL bán theo ngày'!$A$9:$A$82,"?*"),INDEX('SL bán theo ngày'!O$9:O$82,ROWS($A$11:$A56)),"")</f>
        <v/>
      </c>
      <c r="M56" s="49" t="str">
        <f t="array" aca="1" ref="M56" ca="1">IF(ROWS($A$11:$A56)&lt;=COUNTIF('SL bán theo ngày'!$A$9:$A$82,"?*"),INDEX('SL bán theo ngày'!P$9:P$82,ROWS($A$11:$A56)),"")</f>
        <v/>
      </c>
      <c r="N56" s="49" t="str">
        <f t="array" aca="1" ref="N56" ca="1">IF(ROWS($A$11:$A56)&lt;=COUNTIF('SL bán theo ngày'!$A$9:$A$82,"?*"),INDEX('SL bán theo ngày'!Q$9:Q$82,ROWS($A$11:$A56)),"")</f>
        <v/>
      </c>
      <c r="O56" s="49" t="str">
        <f t="array" aca="1" ref="O56" ca="1">IF(ROWS($A$11:$A56)&lt;=COUNTIF('SL bán theo ngày'!$A$9:$A$82,"?*"),INDEX('SL bán theo ngày'!R$9:R$82,ROWS($A$11:$A56)),"")</f>
        <v/>
      </c>
      <c r="P56" s="49" t="str">
        <f t="array" aca="1" ref="P56" ca="1">IF(ROWS($A$11:$A56)&lt;=COUNTIF('SL bán theo ngày'!$A$9:$A$82,"?*"),INDEX('SL bán theo ngày'!S$9:S$82,ROWS($A$11:$A56)),"")</f>
        <v/>
      </c>
      <c r="Q56" s="49" t="str">
        <f t="array" aca="1" ref="Q56" ca="1">IF(ROWS($A$11:$A56)&lt;=COUNTIF('SL bán theo ngày'!$A$9:$A$82,"?*"),INDEX('SL bán theo ngày'!T$9:T$82,ROWS($A$11:$A56)),"")</f>
        <v/>
      </c>
      <c r="R56" s="49" t="str">
        <f t="array" aca="1" ref="R56" ca="1">IF(ROWS($A$11:$A56)&lt;=COUNTIF('SL bán theo ngày'!$A$9:$A$82,"?*"),INDEX('SL bán theo ngày'!U$9:U$82,ROWS($A$11:$A56)),"")</f>
        <v/>
      </c>
      <c r="S56" s="49" t="str">
        <f t="array" aca="1" ref="S56" ca="1">IF(ROWS($A$11:$A56)&lt;=COUNTIF('SL bán theo ngày'!$A$9:$A$82,"?*"),INDEX('SL bán theo ngày'!V$9:V$82,ROWS($A$11:$A56)),"")</f>
        <v/>
      </c>
      <c r="T56" s="49" t="str">
        <f t="array" aca="1" ref="T56" ca="1">IF(ROWS($A$11:$A56)&lt;=COUNTIF('SL bán theo ngày'!$A$9:$A$82,"?*"),INDEX('SL bán theo ngày'!W$9:W$82,ROWS($A$11:$A56)),"")</f>
        <v/>
      </c>
      <c r="U56" s="49" t="str">
        <f t="array" aca="1" ref="U56" ca="1">IF(ROWS($A$11:$A56)&lt;=COUNTIF('SL bán theo ngày'!$A$9:$A$82,"?*"),INDEX('SL bán theo ngày'!X$9:X$82,ROWS($A$11:$A56)),"")</f>
        <v/>
      </c>
      <c r="V56" s="49" t="str">
        <f t="array" aca="1" ref="V56" ca="1">IF(ROWS($A$11:$A56)&lt;=COUNTIF('SL bán theo ngày'!$A$9:$A$82,"?*"),INDEX('SL bán theo ngày'!Y$9:Y$82,ROWS($A$11:$A56)),"")</f>
        <v/>
      </c>
      <c r="W56" s="49" t="str">
        <f t="array" aca="1" ref="W56" ca="1">IF(ROWS($A$11:$A56)&lt;=COUNTIF('SL bán theo ngày'!$A$9:$A$82,"?*"),INDEX('SL bán theo ngày'!Z$9:Z$82,ROWS($A$11:$A56)),"")</f>
        <v/>
      </c>
      <c r="X56" s="49" t="str">
        <f t="array" aca="1" ref="X56" ca="1">IF(ROWS($A$11:$A56)&lt;=COUNTIF('SL bán theo ngày'!$A$9:$A$82,"?*"),INDEX('SL bán theo ngày'!AA$9:AA$82,ROWS($A$11:$A56)),"")</f>
        <v/>
      </c>
      <c r="Y56" s="49" t="str">
        <f t="array" aca="1" ref="Y56" ca="1">IF(ROWS($A$11:$A56)&lt;=COUNTIF('SL bán theo ngày'!$A$9:$A$82,"?*"),INDEX('SL bán theo ngày'!AB$9:AB$82,ROWS($A$11:$A56)),"")</f>
        <v/>
      </c>
      <c r="Z56" s="49" t="str">
        <f t="array" aca="1" ref="Z56" ca="1">IF(ROWS($A$11:$A56)&lt;=COUNTIF('SL bán theo ngày'!$A$9:$A$82,"?*"),INDEX('SL bán theo ngày'!AC$9:AC$82,ROWS($A$11:$A56)),"")</f>
        <v/>
      </c>
      <c r="AA56" s="49" t="str">
        <f t="array" aca="1" ref="AA56" ca="1">IF(ROWS($A$11:$A56)&lt;=COUNTIF('SL bán theo ngày'!$A$9:$A$82,"?*"),INDEX('SL bán theo ngày'!AD$9:AD$82,ROWS($A$11:$A56)),"")</f>
        <v/>
      </c>
      <c r="AB56" s="49" t="str">
        <f t="array" aca="1" ref="AB56" ca="1">IF(ROWS($A$11:$A56)&lt;=COUNTIF('SL bán theo ngày'!$A$9:$A$82,"?*"),INDEX('SL bán theo ngày'!AE$9:AE$82,ROWS($A$11:$A56)),"")</f>
        <v/>
      </c>
      <c r="AC56" s="49" t="str">
        <f t="array" aca="1" ref="AC56" ca="1">IF(ROWS($A$11:$A56)&lt;=COUNTIF('SL bán theo ngày'!$A$9:$A$82,"?*"),INDEX('SL bán theo ngày'!AF$9:AF$82,ROWS($A$11:$A56)),"")</f>
        <v/>
      </c>
      <c r="AD56" s="49" t="str">
        <f t="array" aca="1" ref="AD56" ca="1">IF(ROWS($A$11:$A56)&lt;=COUNTIF('SL bán theo ngày'!$A$9:$A$82,"?*"),INDEX('SL bán theo ngày'!AG$9:AG$82,ROWS($A$11:$A56)),"")</f>
        <v/>
      </c>
      <c r="AE56" s="49" t="str">
        <f t="array" aca="1" ref="AE56" ca="1">IF(ROWS($A$11:$A56)&lt;=COUNTIF('SL bán theo ngày'!$A$9:$A$82,"?*"),INDEX('SL bán theo ngày'!AH$9:AH$82,ROWS($A$11:$A56)),"")</f>
        <v/>
      </c>
      <c r="AF56" s="49" t="str">
        <f t="array" aca="1" ref="AF56" ca="1">IF(ROWS($A$11:$A56)&lt;=COUNTIF('SL bán theo ngày'!$A$9:$A$82,"?*"),INDEX('SL bán theo ngày'!AI$9:AI$82,ROWS($A$11:$A56)),"")</f>
        <v/>
      </c>
      <c r="AG56" s="49" t="str">
        <f t="array" aca="1" ref="AG56" ca="1">IF(ROWS($A$11:$A56)&lt;=COUNTIF('SL bán theo ngày'!$A$9:$A$82,"?*"),INDEX('SL bán theo ngày'!C$9:C$82,ROWS($A$11:$A56)),"")</f>
        <v/>
      </c>
      <c r="AH56" s="74" t="str">
        <f t="array" aca="1" ref="AH56" ca="1">IF(ROWS($A$11:$A56)&lt;=COUNTIF('SL bán theo ngày'!$A$9:$A$82,"?*"),INDEX('SL bán theo ngày'!D$9:D$82,ROWS($A$11:$A56)),"")</f>
        <v/>
      </c>
      <c r="AI56" s="49" t="str">
        <f t="array" aca="1" ref="AI56" ca="1">IF(ROWS($A$11:$A56)&lt;=COUNTIF('SL bán theo ngày'!$A$9:$A$82,"?*"),INDEX('SL bán theo ngày'!E$9:E$82,ROWS($A$11:$A56)),"")</f>
        <v/>
      </c>
      <c r="AJ56" s="49" t="str">
        <f t="array" aca="1" ref="AJ56" ca="1">IF(ROWS($A$11:$A56)&lt;=COUNTIF('SL bán theo ngày'!$A$9:$A$82,"?*"),INDEX('SL bán theo ngày'!AJ$9:AJ$82,ROWS($A$11:$A56)),"")</f>
        <v/>
      </c>
      <c r="AK56" s="49" t="str">
        <f t="array" aca="1" ref="AK56" ca="1">IF(ROWS($A$11:$A56)&lt;=COUNTIF('SL bán theo ngày'!$A$9:$A$82,"?*"),INDEX('SL bán theo ngày'!AK$9:AK$82,ROWS($A$11:$A56)),"")</f>
        <v/>
      </c>
    </row>
    <row r="57" spans="1:37" ht="15.75" customHeight="1" x14ac:dyDescent="0.25">
      <c r="A57" s="33" t="str">
        <f t="array" aca="1" ref="A57" ca="1">IF(ROWS($A$11:$A57)&lt;=COUNTIF('SL bán theo ngày'!$A$9:$A$82,"?*"),INDEX('SL bán theo ngày'!A$9:A$82,ROWS($A$11:$A57)),"")</f>
        <v/>
      </c>
      <c r="B57" s="37" t="str">
        <f t="array" aca="1" ref="B57" ca="1">IF(ROWS($A$11:$A57)&lt;=COUNTIF('SL bán theo ngày'!$A$9:$A$82,"?*"),INDEX('SL bán theo ngày'!B$9:B$82,ROWS($A$11:$A57)),"")</f>
        <v/>
      </c>
      <c r="C57" s="79" t="str">
        <f t="array" aca="1" ref="C57" ca="1">IF(ROWS($A$11:$A57)&lt;=COUNTIF('SL bán theo ngày'!$A$9:$A$82,"?*"),INDEX('SL bán theo ngày'!F$9:F$82,ROWS($A$11:$A57)),"")</f>
        <v/>
      </c>
      <c r="D57" s="49" t="str">
        <f t="array" aca="1" ref="D57" ca="1">IF(ROWS($A$11:$A57)&lt;=COUNTIF('SL bán theo ngày'!$A$9:$A$82,"?*"),INDEX('SL bán theo ngày'!G$9:G$82,ROWS($A$11:$A57)),"")</f>
        <v/>
      </c>
      <c r="E57" s="49" t="str">
        <f t="array" aca="1" ref="E57" ca="1">IF(ROWS($A$11:$A57)&lt;=COUNTIF('SL bán theo ngày'!$A$9:$A$82,"?*"),INDEX('SL bán theo ngày'!H$9:H$82,ROWS($A$11:$A57)),"")</f>
        <v/>
      </c>
      <c r="F57" s="49" t="str">
        <f t="array" aca="1" ref="F57" ca="1">IF(ROWS($A$11:$A57)&lt;=COUNTIF('SL bán theo ngày'!$A$9:$A$82,"?*"),INDEX('SL bán theo ngày'!I$9:I$82,ROWS($A$11:$A57)),"")</f>
        <v/>
      </c>
      <c r="G57" s="49" t="str">
        <f t="array" aca="1" ref="G57" ca="1">IF(ROWS($A$11:$A57)&lt;=COUNTIF('SL bán theo ngày'!$A$9:$A$82,"?*"),INDEX('SL bán theo ngày'!J$9:J$82,ROWS($A$11:$A57)),"")</f>
        <v/>
      </c>
      <c r="H57" s="49" t="str">
        <f t="array" aca="1" ref="H57" ca="1">IF(ROWS($A$11:$A57)&lt;=COUNTIF('SL bán theo ngày'!$A$9:$A$82,"?*"),INDEX('SL bán theo ngày'!K$9:K$82,ROWS($A$11:$A57)),"")</f>
        <v/>
      </c>
      <c r="I57" s="49" t="str">
        <f t="array" aca="1" ref="I57" ca="1">IF(ROWS($A$11:$A57)&lt;=COUNTIF('SL bán theo ngày'!$A$9:$A$82,"?*"),INDEX('SL bán theo ngày'!L$9:L$82,ROWS($A$11:$A57)),"")</f>
        <v/>
      </c>
      <c r="J57" s="49" t="str">
        <f t="array" aca="1" ref="J57" ca="1">IF(ROWS($A$11:$A57)&lt;=COUNTIF('SL bán theo ngày'!$A$9:$A$82,"?*"),INDEX('SL bán theo ngày'!M$9:M$82,ROWS($A$11:$A57)),"")</f>
        <v/>
      </c>
      <c r="K57" s="49" t="str">
        <f t="array" aca="1" ref="K57" ca="1">IF(ROWS($A$11:$A57)&lt;=COUNTIF('SL bán theo ngày'!$A$9:$A$82,"?*"),INDEX('SL bán theo ngày'!N$9:N$82,ROWS($A$11:$A57)),"")</f>
        <v/>
      </c>
      <c r="L57" s="49" t="str">
        <f t="array" aca="1" ref="L57" ca="1">IF(ROWS($A$11:$A57)&lt;=COUNTIF('SL bán theo ngày'!$A$9:$A$82,"?*"),INDEX('SL bán theo ngày'!O$9:O$82,ROWS($A$11:$A57)),"")</f>
        <v/>
      </c>
      <c r="M57" s="49" t="str">
        <f t="array" aca="1" ref="M57" ca="1">IF(ROWS($A$11:$A57)&lt;=COUNTIF('SL bán theo ngày'!$A$9:$A$82,"?*"),INDEX('SL bán theo ngày'!P$9:P$82,ROWS($A$11:$A57)),"")</f>
        <v/>
      </c>
      <c r="N57" s="49" t="str">
        <f t="array" aca="1" ref="N57" ca="1">IF(ROWS($A$11:$A57)&lt;=COUNTIF('SL bán theo ngày'!$A$9:$A$82,"?*"),INDEX('SL bán theo ngày'!Q$9:Q$82,ROWS($A$11:$A57)),"")</f>
        <v/>
      </c>
      <c r="O57" s="49" t="str">
        <f t="array" aca="1" ref="O57" ca="1">IF(ROWS($A$11:$A57)&lt;=COUNTIF('SL bán theo ngày'!$A$9:$A$82,"?*"),INDEX('SL bán theo ngày'!R$9:R$82,ROWS($A$11:$A57)),"")</f>
        <v/>
      </c>
      <c r="P57" s="49" t="str">
        <f t="array" aca="1" ref="P57" ca="1">IF(ROWS($A$11:$A57)&lt;=COUNTIF('SL bán theo ngày'!$A$9:$A$82,"?*"),INDEX('SL bán theo ngày'!S$9:S$82,ROWS($A$11:$A57)),"")</f>
        <v/>
      </c>
      <c r="Q57" s="49" t="str">
        <f t="array" aca="1" ref="Q57" ca="1">IF(ROWS($A$11:$A57)&lt;=COUNTIF('SL bán theo ngày'!$A$9:$A$82,"?*"),INDEX('SL bán theo ngày'!T$9:T$82,ROWS($A$11:$A57)),"")</f>
        <v/>
      </c>
      <c r="R57" s="49" t="str">
        <f t="array" aca="1" ref="R57" ca="1">IF(ROWS($A$11:$A57)&lt;=COUNTIF('SL bán theo ngày'!$A$9:$A$82,"?*"),INDEX('SL bán theo ngày'!U$9:U$82,ROWS($A$11:$A57)),"")</f>
        <v/>
      </c>
      <c r="S57" s="49" t="str">
        <f t="array" aca="1" ref="S57" ca="1">IF(ROWS($A$11:$A57)&lt;=COUNTIF('SL bán theo ngày'!$A$9:$A$82,"?*"),INDEX('SL bán theo ngày'!V$9:V$82,ROWS($A$11:$A57)),"")</f>
        <v/>
      </c>
      <c r="T57" s="49" t="str">
        <f t="array" aca="1" ref="T57" ca="1">IF(ROWS($A$11:$A57)&lt;=COUNTIF('SL bán theo ngày'!$A$9:$A$82,"?*"),INDEX('SL bán theo ngày'!W$9:W$82,ROWS($A$11:$A57)),"")</f>
        <v/>
      </c>
      <c r="U57" s="49" t="str">
        <f t="array" aca="1" ref="U57" ca="1">IF(ROWS($A$11:$A57)&lt;=COUNTIF('SL bán theo ngày'!$A$9:$A$82,"?*"),INDEX('SL bán theo ngày'!X$9:X$82,ROWS($A$11:$A57)),"")</f>
        <v/>
      </c>
      <c r="V57" s="49" t="str">
        <f t="array" aca="1" ref="V57" ca="1">IF(ROWS($A$11:$A57)&lt;=COUNTIF('SL bán theo ngày'!$A$9:$A$82,"?*"),INDEX('SL bán theo ngày'!Y$9:Y$82,ROWS($A$11:$A57)),"")</f>
        <v/>
      </c>
      <c r="W57" s="49" t="str">
        <f t="array" aca="1" ref="W57" ca="1">IF(ROWS($A$11:$A57)&lt;=COUNTIF('SL bán theo ngày'!$A$9:$A$82,"?*"),INDEX('SL bán theo ngày'!Z$9:Z$82,ROWS($A$11:$A57)),"")</f>
        <v/>
      </c>
      <c r="X57" s="49" t="str">
        <f t="array" aca="1" ref="X57" ca="1">IF(ROWS($A$11:$A57)&lt;=COUNTIF('SL bán theo ngày'!$A$9:$A$82,"?*"),INDEX('SL bán theo ngày'!AA$9:AA$82,ROWS($A$11:$A57)),"")</f>
        <v/>
      </c>
      <c r="Y57" s="49" t="str">
        <f t="array" aca="1" ref="Y57" ca="1">IF(ROWS($A$11:$A57)&lt;=COUNTIF('SL bán theo ngày'!$A$9:$A$82,"?*"),INDEX('SL bán theo ngày'!AB$9:AB$82,ROWS($A$11:$A57)),"")</f>
        <v/>
      </c>
      <c r="Z57" s="49" t="str">
        <f t="array" aca="1" ref="Z57" ca="1">IF(ROWS($A$11:$A57)&lt;=COUNTIF('SL bán theo ngày'!$A$9:$A$82,"?*"),INDEX('SL bán theo ngày'!AC$9:AC$82,ROWS($A$11:$A57)),"")</f>
        <v/>
      </c>
      <c r="AA57" s="49" t="str">
        <f t="array" aca="1" ref="AA57" ca="1">IF(ROWS($A$11:$A57)&lt;=COUNTIF('SL bán theo ngày'!$A$9:$A$82,"?*"),INDEX('SL bán theo ngày'!AD$9:AD$82,ROWS($A$11:$A57)),"")</f>
        <v/>
      </c>
      <c r="AB57" s="49" t="str">
        <f t="array" aca="1" ref="AB57" ca="1">IF(ROWS($A$11:$A57)&lt;=COUNTIF('SL bán theo ngày'!$A$9:$A$82,"?*"),INDEX('SL bán theo ngày'!AE$9:AE$82,ROWS($A$11:$A57)),"")</f>
        <v/>
      </c>
      <c r="AC57" s="49" t="str">
        <f t="array" aca="1" ref="AC57" ca="1">IF(ROWS($A$11:$A57)&lt;=COUNTIF('SL bán theo ngày'!$A$9:$A$82,"?*"),INDEX('SL bán theo ngày'!AF$9:AF$82,ROWS($A$11:$A57)),"")</f>
        <v/>
      </c>
      <c r="AD57" s="49" t="str">
        <f t="array" aca="1" ref="AD57" ca="1">IF(ROWS($A$11:$A57)&lt;=COUNTIF('SL bán theo ngày'!$A$9:$A$82,"?*"),INDEX('SL bán theo ngày'!AG$9:AG$82,ROWS($A$11:$A57)),"")</f>
        <v/>
      </c>
      <c r="AE57" s="49" t="str">
        <f t="array" aca="1" ref="AE57" ca="1">IF(ROWS($A$11:$A57)&lt;=COUNTIF('SL bán theo ngày'!$A$9:$A$82,"?*"),INDEX('SL bán theo ngày'!AH$9:AH$82,ROWS($A$11:$A57)),"")</f>
        <v/>
      </c>
      <c r="AF57" s="49" t="str">
        <f t="array" aca="1" ref="AF57" ca="1">IF(ROWS($A$11:$A57)&lt;=COUNTIF('SL bán theo ngày'!$A$9:$A$82,"?*"),INDEX('SL bán theo ngày'!AI$9:AI$82,ROWS($A$11:$A57)),"")</f>
        <v/>
      </c>
      <c r="AG57" s="49" t="str">
        <f t="array" aca="1" ref="AG57" ca="1">IF(ROWS($A$11:$A57)&lt;=COUNTIF('SL bán theo ngày'!$A$9:$A$82,"?*"),INDEX('SL bán theo ngày'!C$9:C$82,ROWS($A$11:$A57)),"")</f>
        <v/>
      </c>
      <c r="AH57" s="74" t="str">
        <f t="array" aca="1" ref="AH57" ca="1">IF(ROWS($A$11:$A57)&lt;=COUNTIF('SL bán theo ngày'!$A$9:$A$82,"?*"),INDEX('SL bán theo ngày'!D$9:D$82,ROWS($A$11:$A57)),"")</f>
        <v/>
      </c>
      <c r="AI57" s="49" t="str">
        <f t="array" aca="1" ref="AI57" ca="1">IF(ROWS($A$11:$A57)&lt;=COUNTIF('SL bán theo ngày'!$A$9:$A$82,"?*"),INDEX('SL bán theo ngày'!E$9:E$82,ROWS($A$11:$A57)),"")</f>
        <v/>
      </c>
      <c r="AJ57" s="49" t="str">
        <f t="array" aca="1" ref="AJ57" ca="1">IF(ROWS($A$11:$A57)&lt;=COUNTIF('SL bán theo ngày'!$A$9:$A$82,"?*"),INDEX('SL bán theo ngày'!AJ$9:AJ$82,ROWS($A$11:$A57)),"")</f>
        <v/>
      </c>
      <c r="AK57" s="49" t="str">
        <f t="array" aca="1" ref="AK57" ca="1">IF(ROWS($A$11:$A57)&lt;=COUNTIF('SL bán theo ngày'!$A$9:$A$82,"?*"),INDEX('SL bán theo ngày'!AK$9:AK$82,ROWS($A$11:$A57)),"")</f>
        <v/>
      </c>
    </row>
    <row r="58" spans="1:37" ht="15.75" customHeight="1" x14ac:dyDescent="0.25">
      <c r="A58" s="33" t="str">
        <f t="array" aca="1" ref="A58" ca="1">IF(ROWS($A$11:$A58)&lt;=COUNTIF('SL bán theo ngày'!$A$9:$A$82,"?*"),INDEX('SL bán theo ngày'!A$9:A$82,ROWS($A$11:$A58)),"")</f>
        <v/>
      </c>
      <c r="B58" s="37" t="str">
        <f t="array" aca="1" ref="B58" ca="1">IF(ROWS($A$11:$A58)&lt;=COUNTIF('SL bán theo ngày'!$A$9:$A$82,"?*"),INDEX('SL bán theo ngày'!B$9:B$82,ROWS($A$11:$A58)),"")</f>
        <v/>
      </c>
      <c r="C58" s="79" t="str">
        <f t="array" aca="1" ref="C58" ca="1">IF(ROWS($A$11:$A58)&lt;=COUNTIF('SL bán theo ngày'!$A$9:$A$82,"?*"),INDEX('SL bán theo ngày'!F$9:F$82,ROWS($A$11:$A58)),"")</f>
        <v/>
      </c>
      <c r="D58" s="49" t="str">
        <f t="array" aca="1" ref="D58" ca="1">IF(ROWS($A$11:$A58)&lt;=COUNTIF('SL bán theo ngày'!$A$9:$A$82,"?*"),INDEX('SL bán theo ngày'!G$9:G$82,ROWS($A$11:$A58)),"")</f>
        <v/>
      </c>
      <c r="E58" s="49" t="str">
        <f t="array" aca="1" ref="E58" ca="1">IF(ROWS($A$11:$A58)&lt;=COUNTIF('SL bán theo ngày'!$A$9:$A$82,"?*"),INDEX('SL bán theo ngày'!H$9:H$82,ROWS($A$11:$A58)),"")</f>
        <v/>
      </c>
      <c r="F58" s="49" t="str">
        <f t="array" aca="1" ref="F58" ca="1">IF(ROWS($A$11:$A58)&lt;=COUNTIF('SL bán theo ngày'!$A$9:$A$82,"?*"),INDEX('SL bán theo ngày'!I$9:I$82,ROWS($A$11:$A58)),"")</f>
        <v/>
      </c>
      <c r="G58" s="49" t="str">
        <f t="array" aca="1" ref="G58" ca="1">IF(ROWS($A$11:$A58)&lt;=COUNTIF('SL bán theo ngày'!$A$9:$A$82,"?*"),INDEX('SL bán theo ngày'!J$9:J$82,ROWS($A$11:$A58)),"")</f>
        <v/>
      </c>
      <c r="H58" s="49" t="str">
        <f t="array" aca="1" ref="H58" ca="1">IF(ROWS($A$11:$A58)&lt;=COUNTIF('SL bán theo ngày'!$A$9:$A$82,"?*"),INDEX('SL bán theo ngày'!K$9:K$82,ROWS($A$11:$A58)),"")</f>
        <v/>
      </c>
      <c r="I58" s="49" t="str">
        <f t="array" aca="1" ref="I58" ca="1">IF(ROWS($A$11:$A58)&lt;=COUNTIF('SL bán theo ngày'!$A$9:$A$82,"?*"),INDEX('SL bán theo ngày'!L$9:L$82,ROWS($A$11:$A58)),"")</f>
        <v/>
      </c>
      <c r="J58" s="49" t="str">
        <f t="array" aca="1" ref="J58" ca="1">IF(ROWS($A$11:$A58)&lt;=COUNTIF('SL bán theo ngày'!$A$9:$A$82,"?*"),INDEX('SL bán theo ngày'!M$9:M$82,ROWS($A$11:$A58)),"")</f>
        <v/>
      </c>
      <c r="K58" s="49" t="str">
        <f t="array" aca="1" ref="K58" ca="1">IF(ROWS($A$11:$A58)&lt;=COUNTIF('SL bán theo ngày'!$A$9:$A$82,"?*"),INDEX('SL bán theo ngày'!N$9:N$82,ROWS($A$11:$A58)),"")</f>
        <v/>
      </c>
      <c r="L58" s="49" t="str">
        <f t="array" aca="1" ref="L58" ca="1">IF(ROWS($A$11:$A58)&lt;=COUNTIF('SL bán theo ngày'!$A$9:$A$82,"?*"),INDEX('SL bán theo ngày'!O$9:O$82,ROWS($A$11:$A58)),"")</f>
        <v/>
      </c>
      <c r="M58" s="49" t="str">
        <f t="array" aca="1" ref="M58" ca="1">IF(ROWS($A$11:$A58)&lt;=COUNTIF('SL bán theo ngày'!$A$9:$A$82,"?*"),INDEX('SL bán theo ngày'!P$9:P$82,ROWS($A$11:$A58)),"")</f>
        <v/>
      </c>
      <c r="N58" s="49" t="str">
        <f t="array" aca="1" ref="N58" ca="1">IF(ROWS($A$11:$A58)&lt;=COUNTIF('SL bán theo ngày'!$A$9:$A$82,"?*"),INDEX('SL bán theo ngày'!Q$9:Q$82,ROWS($A$11:$A58)),"")</f>
        <v/>
      </c>
      <c r="O58" s="49" t="str">
        <f t="array" aca="1" ref="O58" ca="1">IF(ROWS($A$11:$A58)&lt;=COUNTIF('SL bán theo ngày'!$A$9:$A$82,"?*"),INDEX('SL bán theo ngày'!R$9:R$82,ROWS($A$11:$A58)),"")</f>
        <v/>
      </c>
      <c r="P58" s="49" t="str">
        <f t="array" aca="1" ref="P58" ca="1">IF(ROWS($A$11:$A58)&lt;=COUNTIF('SL bán theo ngày'!$A$9:$A$82,"?*"),INDEX('SL bán theo ngày'!S$9:S$82,ROWS($A$11:$A58)),"")</f>
        <v/>
      </c>
      <c r="Q58" s="49" t="str">
        <f t="array" aca="1" ref="Q58" ca="1">IF(ROWS($A$11:$A58)&lt;=COUNTIF('SL bán theo ngày'!$A$9:$A$82,"?*"),INDEX('SL bán theo ngày'!T$9:T$82,ROWS($A$11:$A58)),"")</f>
        <v/>
      </c>
      <c r="R58" s="49" t="str">
        <f t="array" aca="1" ref="R58" ca="1">IF(ROWS($A$11:$A58)&lt;=COUNTIF('SL bán theo ngày'!$A$9:$A$82,"?*"),INDEX('SL bán theo ngày'!U$9:U$82,ROWS($A$11:$A58)),"")</f>
        <v/>
      </c>
      <c r="S58" s="49" t="str">
        <f t="array" aca="1" ref="S58" ca="1">IF(ROWS($A$11:$A58)&lt;=COUNTIF('SL bán theo ngày'!$A$9:$A$82,"?*"),INDEX('SL bán theo ngày'!V$9:V$82,ROWS($A$11:$A58)),"")</f>
        <v/>
      </c>
      <c r="T58" s="49" t="str">
        <f t="array" aca="1" ref="T58" ca="1">IF(ROWS($A$11:$A58)&lt;=COUNTIF('SL bán theo ngày'!$A$9:$A$82,"?*"),INDEX('SL bán theo ngày'!W$9:W$82,ROWS($A$11:$A58)),"")</f>
        <v/>
      </c>
      <c r="U58" s="49" t="str">
        <f t="array" aca="1" ref="U58" ca="1">IF(ROWS($A$11:$A58)&lt;=COUNTIF('SL bán theo ngày'!$A$9:$A$82,"?*"),INDEX('SL bán theo ngày'!X$9:X$82,ROWS($A$11:$A58)),"")</f>
        <v/>
      </c>
      <c r="V58" s="49" t="str">
        <f t="array" aca="1" ref="V58" ca="1">IF(ROWS($A$11:$A58)&lt;=COUNTIF('SL bán theo ngày'!$A$9:$A$82,"?*"),INDEX('SL bán theo ngày'!Y$9:Y$82,ROWS($A$11:$A58)),"")</f>
        <v/>
      </c>
      <c r="W58" s="49" t="str">
        <f t="array" aca="1" ref="W58" ca="1">IF(ROWS($A$11:$A58)&lt;=COUNTIF('SL bán theo ngày'!$A$9:$A$82,"?*"),INDEX('SL bán theo ngày'!Z$9:Z$82,ROWS($A$11:$A58)),"")</f>
        <v/>
      </c>
      <c r="X58" s="49" t="str">
        <f t="array" aca="1" ref="X58" ca="1">IF(ROWS($A$11:$A58)&lt;=COUNTIF('SL bán theo ngày'!$A$9:$A$82,"?*"),INDEX('SL bán theo ngày'!AA$9:AA$82,ROWS($A$11:$A58)),"")</f>
        <v/>
      </c>
      <c r="Y58" s="49" t="str">
        <f t="array" aca="1" ref="Y58" ca="1">IF(ROWS($A$11:$A58)&lt;=COUNTIF('SL bán theo ngày'!$A$9:$A$82,"?*"),INDEX('SL bán theo ngày'!AB$9:AB$82,ROWS($A$11:$A58)),"")</f>
        <v/>
      </c>
      <c r="Z58" s="49" t="str">
        <f t="array" aca="1" ref="Z58" ca="1">IF(ROWS($A$11:$A58)&lt;=COUNTIF('SL bán theo ngày'!$A$9:$A$82,"?*"),INDEX('SL bán theo ngày'!AC$9:AC$82,ROWS($A$11:$A58)),"")</f>
        <v/>
      </c>
      <c r="AA58" s="49" t="str">
        <f t="array" aca="1" ref="AA58" ca="1">IF(ROWS($A$11:$A58)&lt;=COUNTIF('SL bán theo ngày'!$A$9:$A$82,"?*"),INDEX('SL bán theo ngày'!AD$9:AD$82,ROWS($A$11:$A58)),"")</f>
        <v/>
      </c>
      <c r="AB58" s="49" t="str">
        <f t="array" aca="1" ref="AB58" ca="1">IF(ROWS($A$11:$A58)&lt;=COUNTIF('SL bán theo ngày'!$A$9:$A$82,"?*"),INDEX('SL bán theo ngày'!AE$9:AE$82,ROWS($A$11:$A58)),"")</f>
        <v/>
      </c>
      <c r="AC58" s="49" t="str">
        <f t="array" aca="1" ref="AC58" ca="1">IF(ROWS($A$11:$A58)&lt;=COUNTIF('SL bán theo ngày'!$A$9:$A$82,"?*"),INDEX('SL bán theo ngày'!AF$9:AF$82,ROWS($A$11:$A58)),"")</f>
        <v/>
      </c>
      <c r="AD58" s="49" t="str">
        <f t="array" aca="1" ref="AD58" ca="1">IF(ROWS($A$11:$A58)&lt;=COUNTIF('SL bán theo ngày'!$A$9:$A$82,"?*"),INDEX('SL bán theo ngày'!AG$9:AG$82,ROWS($A$11:$A58)),"")</f>
        <v/>
      </c>
      <c r="AE58" s="49" t="str">
        <f t="array" aca="1" ref="AE58" ca="1">IF(ROWS($A$11:$A58)&lt;=COUNTIF('SL bán theo ngày'!$A$9:$A$82,"?*"),INDEX('SL bán theo ngày'!AH$9:AH$82,ROWS($A$11:$A58)),"")</f>
        <v/>
      </c>
      <c r="AF58" s="49" t="str">
        <f t="array" aca="1" ref="AF58" ca="1">IF(ROWS($A$11:$A58)&lt;=COUNTIF('SL bán theo ngày'!$A$9:$A$82,"?*"),INDEX('SL bán theo ngày'!AI$9:AI$82,ROWS($A$11:$A58)),"")</f>
        <v/>
      </c>
      <c r="AG58" s="49" t="str">
        <f t="array" aca="1" ref="AG58" ca="1">IF(ROWS($A$11:$A58)&lt;=COUNTIF('SL bán theo ngày'!$A$9:$A$82,"?*"),INDEX('SL bán theo ngày'!C$9:C$82,ROWS($A$11:$A58)),"")</f>
        <v/>
      </c>
      <c r="AH58" s="74" t="str">
        <f t="array" aca="1" ref="AH58" ca="1">IF(ROWS($A$11:$A58)&lt;=COUNTIF('SL bán theo ngày'!$A$9:$A$82,"?*"),INDEX('SL bán theo ngày'!D$9:D$82,ROWS($A$11:$A58)),"")</f>
        <v/>
      </c>
      <c r="AI58" s="49" t="str">
        <f t="array" aca="1" ref="AI58" ca="1">IF(ROWS($A$11:$A58)&lt;=COUNTIF('SL bán theo ngày'!$A$9:$A$82,"?*"),INDEX('SL bán theo ngày'!E$9:E$82,ROWS($A$11:$A58)),"")</f>
        <v/>
      </c>
      <c r="AJ58" s="49" t="str">
        <f t="array" aca="1" ref="AJ58" ca="1">IF(ROWS($A$11:$A58)&lt;=COUNTIF('SL bán theo ngày'!$A$9:$A$82,"?*"),INDEX('SL bán theo ngày'!AJ$9:AJ$82,ROWS($A$11:$A58)),"")</f>
        <v/>
      </c>
      <c r="AK58" s="49" t="str">
        <f t="array" aca="1" ref="AK58" ca="1">IF(ROWS($A$11:$A58)&lt;=COUNTIF('SL bán theo ngày'!$A$9:$A$82,"?*"),INDEX('SL bán theo ngày'!AK$9:AK$82,ROWS($A$11:$A58)),"")</f>
        <v/>
      </c>
    </row>
    <row r="59" spans="1:37" ht="15.75" customHeight="1" x14ac:dyDescent="0.25">
      <c r="A59" s="33" t="str">
        <f t="array" aca="1" ref="A59" ca="1">IF(ROWS($A$11:$A59)&lt;=COUNTIF('SL bán theo ngày'!$A$9:$A$82,"?*"),INDEX('SL bán theo ngày'!A$9:A$82,ROWS($A$11:$A59)),"")</f>
        <v/>
      </c>
      <c r="B59" s="37" t="str">
        <f t="array" aca="1" ref="B59" ca="1">IF(ROWS($A$11:$A59)&lt;=COUNTIF('SL bán theo ngày'!$A$9:$A$82,"?*"),INDEX('SL bán theo ngày'!B$9:B$82,ROWS($A$11:$A59)),"")</f>
        <v/>
      </c>
      <c r="C59" s="79" t="str">
        <f t="array" aca="1" ref="C59" ca="1">IF(ROWS($A$11:$A59)&lt;=COUNTIF('SL bán theo ngày'!$A$9:$A$82,"?*"),INDEX('SL bán theo ngày'!F$9:F$82,ROWS($A$11:$A59)),"")</f>
        <v/>
      </c>
      <c r="D59" s="49" t="str">
        <f t="array" aca="1" ref="D59" ca="1">IF(ROWS($A$11:$A59)&lt;=COUNTIF('SL bán theo ngày'!$A$9:$A$82,"?*"),INDEX('SL bán theo ngày'!G$9:G$82,ROWS($A$11:$A59)),"")</f>
        <v/>
      </c>
      <c r="E59" s="49" t="str">
        <f t="array" aca="1" ref="E59" ca="1">IF(ROWS($A$11:$A59)&lt;=COUNTIF('SL bán theo ngày'!$A$9:$A$82,"?*"),INDEX('SL bán theo ngày'!H$9:H$82,ROWS($A$11:$A59)),"")</f>
        <v/>
      </c>
      <c r="F59" s="49" t="str">
        <f t="array" aca="1" ref="F59" ca="1">IF(ROWS($A$11:$A59)&lt;=COUNTIF('SL bán theo ngày'!$A$9:$A$82,"?*"),INDEX('SL bán theo ngày'!I$9:I$82,ROWS($A$11:$A59)),"")</f>
        <v/>
      </c>
      <c r="G59" s="49" t="str">
        <f t="array" aca="1" ref="G59" ca="1">IF(ROWS($A$11:$A59)&lt;=COUNTIF('SL bán theo ngày'!$A$9:$A$82,"?*"),INDEX('SL bán theo ngày'!J$9:J$82,ROWS($A$11:$A59)),"")</f>
        <v/>
      </c>
      <c r="H59" s="49" t="str">
        <f t="array" aca="1" ref="H59" ca="1">IF(ROWS($A$11:$A59)&lt;=COUNTIF('SL bán theo ngày'!$A$9:$A$82,"?*"),INDEX('SL bán theo ngày'!K$9:K$82,ROWS($A$11:$A59)),"")</f>
        <v/>
      </c>
      <c r="I59" s="49" t="str">
        <f t="array" aca="1" ref="I59" ca="1">IF(ROWS($A$11:$A59)&lt;=COUNTIF('SL bán theo ngày'!$A$9:$A$82,"?*"),INDEX('SL bán theo ngày'!L$9:L$82,ROWS($A$11:$A59)),"")</f>
        <v/>
      </c>
      <c r="J59" s="49" t="str">
        <f t="array" aca="1" ref="J59" ca="1">IF(ROWS($A$11:$A59)&lt;=COUNTIF('SL bán theo ngày'!$A$9:$A$82,"?*"),INDEX('SL bán theo ngày'!M$9:M$82,ROWS($A$11:$A59)),"")</f>
        <v/>
      </c>
      <c r="K59" s="49" t="str">
        <f t="array" aca="1" ref="K59" ca="1">IF(ROWS($A$11:$A59)&lt;=COUNTIF('SL bán theo ngày'!$A$9:$A$82,"?*"),INDEX('SL bán theo ngày'!N$9:N$82,ROWS($A$11:$A59)),"")</f>
        <v/>
      </c>
      <c r="L59" s="49" t="str">
        <f t="array" aca="1" ref="L59" ca="1">IF(ROWS($A$11:$A59)&lt;=COUNTIF('SL bán theo ngày'!$A$9:$A$82,"?*"),INDEX('SL bán theo ngày'!O$9:O$82,ROWS($A$11:$A59)),"")</f>
        <v/>
      </c>
      <c r="M59" s="49" t="str">
        <f t="array" aca="1" ref="M59" ca="1">IF(ROWS($A$11:$A59)&lt;=COUNTIF('SL bán theo ngày'!$A$9:$A$82,"?*"),INDEX('SL bán theo ngày'!P$9:P$82,ROWS($A$11:$A59)),"")</f>
        <v/>
      </c>
      <c r="N59" s="49" t="str">
        <f t="array" aca="1" ref="N59" ca="1">IF(ROWS($A$11:$A59)&lt;=COUNTIF('SL bán theo ngày'!$A$9:$A$82,"?*"),INDEX('SL bán theo ngày'!Q$9:Q$82,ROWS($A$11:$A59)),"")</f>
        <v/>
      </c>
      <c r="O59" s="49" t="str">
        <f t="array" aca="1" ref="O59" ca="1">IF(ROWS($A$11:$A59)&lt;=COUNTIF('SL bán theo ngày'!$A$9:$A$82,"?*"),INDEX('SL bán theo ngày'!R$9:R$82,ROWS($A$11:$A59)),"")</f>
        <v/>
      </c>
      <c r="P59" s="49" t="str">
        <f t="array" aca="1" ref="P59" ca="1">IF(ROWS($A$11:$A59)&lt;=COUNTIF('SL bán theo ngày'!$A$9:$A$82,"?*"),INDEX('SL bán theo ngày'!S$9:S$82,ROWS($A$11:$A59)),"")</f>
        <v/>
      </c>
      <c r="Q59" s="49" t="str">
        <f t="array" aca="1" ref="Q59" ca="1">IF(ROWS($A$11:$A59)&lt;=COUNTIF('SL bán theo ngày'!$A$9:$A$82,"?*"),INDEX('SL bán theo ngày'!T$9:T$82,ROWS($A$11:$A59)),"")</f>
        <v/>
      </c>
      <c r="R59" s="49" t="str">
        <f t="array" aca="1" ref="R59" ca="1">IF(ROWS($A$11:$A59)&lt;=COUNTIF('SL bán theo ngày'!$A$9:$A$82,"?*"),INDEX('SL bán theo ngày'!U$9:U$82,ROWS($A$11:$A59)),"")</f>
        <v/>
      </c>
      <c r="S59" s="49" t="str">
        <f t="array" aca="1" ref="S59" ca="1">IF(ROWS($A$11:$A59)&lt;=COUNTIF('SL bán theo ngày'!$A$9:$A$82,"?*"),INDEX('SL bán theo ngày'!V$9:V$82,ROWS($A$11:$A59)),"")</f>
        <v/>
      </c>
      <c r="T59" s="49" t="str">
        <f t="array" aca="1" ref="T59" ca="1">IF(ROWS($A$11:$A59)&lt;=COUNTIF('SL bán theo ngày'!$A$9:$A$82,"?*"),INDEX('SL bán theo ngày'!W$9:W$82,ROWS($A$11:$A59)),"")</f>
        <v/>
      </c>
      <c r="U59" s="49" t="str">
        <f t="array" aca="1" ref="U59" ca="1">IF(ROWS($A$11:$A59)&lt;=COUNTIF('SL bán theo ngày'!$A$9:$A$82,"?*"),INDEX('SL bán theo ngày'!X$9:X$82,ROWS($A$11:$A59)),"")</f>
        <v/>
      </c>
      <c r="V59" s="49" t="str">
        <f t="array" aca="1" ref="V59" ca="1">IF(ROWS($A$11:$A59)&lt;=COUNTIF('SL bán theo ngày'!$A$9:$A$82,"?*"),INDEX('SL bán theo ngày'!Y$9:Y$82,ROWS($A$11:$A59)),"")</f>
        <v/>
      </c>
      <c r="W59" s="49" t="str">
        <f t="array" aca="1" ref="W59" ca="1">IF(ROWS($A$11:$A59)&lt;=COUNTIF('SL bán theo ngày'!$A$9:$A$82,"?*"),INDEX('SL bán theo ngày'!Z$9:Z$82,ROWS($A$11:$A59)),"")</f>
        <v/>
      </c>
      <c r="X59" s="49" t="str">
        <f t="array" aca="1" ref="X59" ca="1">IF(ROWS($A$11:$A59)&lt;=COUNTIF('SL bán theo ngày'!$A$9:$A$82,"?*"),INDEX('SL bán theo ngày'!AA$9:AA$82,ROWS($A$11:$A59)),"")</f>
        <v/>
      </c>
      <c r="Y59" s="49" t="str">
        <f t="array" aca="1" ref="Y59" ca="1">IF(ROWS($A$11:$A59)&lt;=COUNTIF('SL bán theo ngày'!$A$9:$A$82,"?*"),INDEX('SL bán theo ngày'!AB$9:AB$82,ROWS($A$11:$A59)),"")</f>
        <v/>
      </c>
      <c r="Z59" s="49" t="str">
        <f t="array" aca="1" ref="Z59" ca="1">IF(ROWS($A$11:$A59)&lt;=COUNTIF('SL bán theo ngày'!$A$9:$A$82,"?*"),INDEX('SL bán theo ngày'!AC$9:AC$82,ROWS($A$11:$A59)),"")</f>
        <v/>
      </c>
      <c r="AA59" s="49" t="str">
        <f t="array" aca="1" ref="AA59" ca="1">IF(ROWS($A$11:$A59)&lt;=COUNTIF('SL bán theo ngày'!$A$9:$A$82,"?*"),INDEX('SL bán theo ngày'!AD$9:AD$82,ROWS($A$11:$A59)),"")</f>
        <v/>
      </c>
      <c r="AB59" s="49" t="str">
        <f t="array" aca="1" ref="AB59" ca="1">IF(ROWS($A$11:$A59)&lt;=COUNTIF('SL bán theo ngày'!$A$9:$A$82,"?*"),INDEX('SL bán theo ngày'!AE$9:AE$82,ROWS($A$11:$A59)),"")</f>
        <v/>
      </c>
      <c r="AC59" s="49" t="str">
        <f t="array" aca="1" ref="AC59" ca="1">IF(ROWS($A$11:$A59)&lt;=COUNTIF('SL bán theo ngày'!$A$9:$A$82,"?*"),INDEX('SL bán theo ngày'!AF$9:AF$82,ROWS($A$11:$A59)),"")</f>
        <v/>
      </c>
      <c r="AD59" s="49" t="str">
        <f t="array" aca="1" ref="AD59" ca="1">IF(ROWS($A$11:$A59)&lt;=COUNTIF('SL bán theo ngày'!$A$9:$A$82,"?*"),INDEX('SL bán theo ngày'!AG$9:AG$82,ROWS($A$11:$A59)),"")</f>
        <v/>
      </c>
      <c r="AE59" s="49" t="str">
        <f t="array" aca="1" ref="AE59" ca="1">IF(ROWS($A$11:$A59)&lt;=COUNTIF('SL bán theo ngày'!$A$9:$A$82,"?*"),INDEX('SL bán theo ngày'!AH$9:AH$82,ROWS($A$11:$A59)),"")</f>
        <v/>
      </c>
      <c r="AF59" s="49" t="str">
        <f t="array" aca="1" ref="AF59" ca="1">IF(ROWS($A$11:$A59)&lt;=COUNTIF('SL bán theo ngày'!$A$9:$A$82,"?*"),INDEX('SL bán theo ngày'!AI$9:AI$82,ROWS($A$11:$A59)),"")</f>
        <v/>
      </c>
      <c r="AG59" s="49" t="str">
        <f t="array" aca="1" ref="AG59" ca="1">IF(ROWS($A$11:$A59)&lt;=COUNTIF('SL bán theo ngày'!$A$9:$A$82,"?*"),INDEX('SL bán theo ngày'!C$9:C$82,ROWS($A$11:$A59)),"")</f>
        <v/>
      </c>
      <c r="AH59" s="74" t="str">
        <f t="array" aca="1" ref="AH59" ca="1">IF(ROWS($A$11:$A59)&lt;=COUNTIF('SL bán theo ngày'!$A$9:$A$82,"?*"),INDEX('SL bán theo ngày'!D$9:D$82,ROWS($A$11:$A59)),"")</f>
        <v/>
      </c>
      <c r="AI59" s="49" t="str">
        <f t="array" aca="1" ref="AI59" ca="1">IF(ROWS($A$11:$A59)&lt;=COUNTIF('SL bán theo ngày'!$A$9:$A$82,"?*"),INDEX('SL bán theo ngày'!E$9:E$82,ROWS($A$11:$A59)),"")</f>
        <v/>
      </c>
      <c r="AJ59" s="49" t="str">
        <f t="array" aca="1" ref="AJ59" ca="1">IF(ROWS($A$11:$A59)&lt;=COUNTIF('SL bán theo ngày'!$A$9:$A$82,"?*"),INDEX('SL bán theo ngày'!AJ$9:AJ$82,ROWS($A$11:$A59)),"")</f>
        <v/>
      </c>
      <c r="AK59" s="49" t="str">
        <f t="array" aca="1" ref="AK59" ca="1">IF(ROWS($A$11:$A59)&lt;=COUNTIF('SL bán theo ngày'!$A$9:$A$82,"?*"),INDEX('SL bán theo ngày'!AK$9:AK$82,ROWS($A$11:$A59)),"")</f>
        <v/>
      </c>
    </row>
    <row r="60" spans="1:37" ht="15.75" customHeight="1" x14ac:dyDescent="0.25">
      <c r="A60" s="33" t="str">
        <f t="array" aca="1" ref="A60" ca="1">IF(ROWS($A$11:$A60)&lt;=COUNTIF('SL bán theo ngày'!$A$9:$A$82,"?*"),INDEX('SL bán theo ngày'!A$9:A$82,ROWS($A$11:$A60)),"")</f>
        <v/>
      </c>
      <c r="B60" s="37" t="str">
        <f t="array" aca="1" ref="B60" ca="1">IF(ROWS($A$11:$A60)&lt;=COUNTIF('SL bán theo ngày'!$A$9:$A$82,"?*"),INDEX('SL bán theo ngày'!B$9:B$82,ROWS($A$11:$A60)),"")</f>
        <v/>
      </c>
      <c r="C60" s="79" t="str">
        <f t="array" aca="1" ref="C60" ca="1">IF(ROWS($A$11:$A60)&lt;=COUNTIF('SL bán theo ngày'!$A$9:$A$82,"?*"),INDEX('SL bán theo ngày'!F$9:F$82,ROWS($A$11:$A60)),"")</f>
        <v/>
      </c>
      <c r="D60" s="49" t="str">
        <f t="array" aca="1" ref="D60" ca="1">IF(ROWS($A$11:$A60)&lt;=COUNTIF('SL bán theo ngày'!$A$9:$A$82,"?*"),INDEX('SL bán theo ngày'!G$9:G$82,ROWS($A$11:$A60)),"")</f>
        <v/>
      </c>
      <c r="E60" s="49" t="str">
        <f t="array" aca="1" ref="E60" ca="1">IF(ROWS($A$11:$A60)&lt;=COUNTIF('SL bán theo ngày'!$A$9:$A$82,"?*"),INDEX('SL bán theo ngày'!H$9:H$82,ROWS($A$11:$A60)),"")</f>
        <v/>
      </c>
      <c r="F60" s="49" t="str">
        <f t="array" aca="1" ref="F60" ca="1">IF(ROWS($A$11:$A60)&lt;=COUNTIF('SL bán theo ngày'!$A$9:$A$82,"?*"),INDEX('SL bán theo ngày'!I$9:I$82,ROWS($A$11:$A60)),"")</f>
        <v/>
      </c>
      <c r="G60" s="49" t="str">
        <f t="array" aca="1" ref="G60" ca="1">IF(ROWS($A$11:$A60)&lt;=COUNTIF('SL bán theo ngày'!$A$9:$A$82,"?*"),INDEX('SL bán theo ngày'!J$9:J$82,ROWS($A$11:$A60)),"")</f>
        <v/>
      </c>
      <c r="H60" s="49" t="str">
        <f t="array" aca="1" ref="H60" ca="1">IF(ROWS($A$11:$A60)&lt;=COUNTIF('SL bán theo ngày'!$A$9:$A$82,"?*"),INDEX('SL bán theo ngày'!K$9:K$82,ROWS($A$11:$A60)),"")</f>
        <v/>
      </c>
      <c r="I60" s="49" t="str">
        <f t="array" aca="1" ref="I60" ca="1">IF(ROWS($A$11:$A60)&lt;=COUNTIF('SL bán theo ngày'!$A$9:$A$82,"?*"),INDEX('SL bán theo ngày'!L$9:L$82,ROWS($A$11:$A60)),"")</f>
        <v/>
      </c>
      <c r="J60" s="49" t="str">
        <f t="array" aca="1" ref="J60" ca="1">IF(ROWS($A$11:$A60)&lt;=COUNTIF('SL bán theo ngày'!$A$9:$A$82,"?*"),INDEX('SL bán theo ngày'!M$9:M$82,ROWS($A$11:$A60)),"")</f>
        <v/>
      </c>
      <c r="K60" s="49" t="str">
        <f t="array" aca="1" ref="K60" ca="1">IF(ROWS($A$11:$A60)&lt;=COUNTIF('SL bán theo ngày'!$A$9:$A$82,"?*"),INDEX('SL bán theo ngày'!N$9:N$82,ROWS($A$11:$A60)),"")</f>
        <v/>
      </c>
      <c r="L60" s="49" t="str">
        <f t="array" aca="1" ref="L60" ca="1">IF(ROWS($A$11:$A60)&lt;=COUNTIF('SL bán theo ngày'!$A$9:$A$82,"?*"),INDEX('SL bán theo ngày'!O$9:O$82,ROWS($A$11:$A60)),"")</f>
        <v/>
      </c>
      <c r="M60" s="49" t="str">
        <f t="array" aca="1" ref="M60" ca="1">IF(ROWS($A$11:$A60)&lt;=COUNTIF('SL bán theo ngày'!$A$9:$A$82,"?*"),INDEX('SL bán theo ngày'!P$9:P$82,ROWS($A$11:$A60)),"")</f>
        <v/>
      </c>
      <c r="N60" s="49" t="str">
        <f t="array" aca="1" ref="N60" ca="1">IF(ROWS($A$11:$A60)&lt;=COUNTIF('SL bán theo ngày'!$A$9:$A$82,"?*"),INDEX('SL bán theo ngày'!Q$9:Q$82,ROWS($A$11:$A60)),"")</f>
        <v/>
      </c>
      <c r="O60" s="49" t="str">
        <f t="array" aca="1" ref="O60" ca="1">IF(ROWS($A$11:$A60)&lt;=COUNTIF('SL bán theo ngày'!$A$9:$A$82,"?*"),INDEX('SL bán theo ngày'!R$9:R$82,ROWS($A$11:$A60)),"")</f>
        <v/>
      </c>
      <c r="P60" s="49" t="str">
        <f t="array" aca="1" ref="P60" ca="1">IF(ROWS($A$11:$A60)&lt;=COUNTIF('SL bán theo ngày'!$A$9:$A$82,"?*"),INDEX('SL bán theo ngày'!S$9:S$82,ROWS($A$11:$A60)),"")</f>
        <v/>
      </c>
      <c r="Q60" s="49" t="str">
        <f t="array" aca="1" ref="Q60" ca="1">IF(ROWS($A$11:$A60)&lt;=COUNTIF('SL bán theo ngày'!$A$9:$A$82,"?*"),INDEX('SL bán theo ngày'!T$9:T$82,ROWS($A$11:$A60)),"")</f>
        <v/>
      </c>
      <c r="R60" s="49" t="str">
        <f t="array" aca="1" ref="R60" ca="1">IF(ROWS($A$11:$A60)&lt;=COUNTIF('SL bán theo ngày'!$A$9:$A$82,"?*"),INDEX('SL bán theo ngày'!U$9:U$82,ROWS($A$11:$A60)),"")</f>
        <v/>
      </c>
      <c r="S60" s="49" t="str">
        <f t="array" aca="1" ref="S60" ca="1">IF(ROWS($A$11:$A60)&lt;=COUNTIF('SL bán theo ngày'!$A$9:$A$82,"?*"),INDEX('SL bán theo ngày'!V$9:V$82,ROWS($A$11:$A60)),"")</f>
        <v/>
      </c>
      <c r="T60" s="49" t="str">
        <f t="array" aca="1" ref="T60" ca="1">IF(ROWS($A$11:$A60)&lt;=COUNTIF('SL bán theo ngày'!$A$9:$A$82,"?*"),INDEX('SL bán theo ngày'!W$9:W$82,ROWS($A$11:$A60)),"")</f>
        <v/>
      </c>
      <c r="U60" s="49" t="str">
        <f t="array" aca="1" ref="U60" ca="1">IF(ROWS($A$11:$A60)&lt;=COUNTIF('SL bán theo ngày'!$A$9:$A$82,"?*"),INDEX('SL bán theo ngày'!X$9:X$82,ROWS($A$11:$A60)),"")</f>
        <v/>
      </c>
      <c r="V60" s="49" t="str">
        <f t="array" aca="1" ref="V60" ca="1">IF(ROWS($A$11:$A60)&lt;=COUNTIF('SL bán theo ngày'!$A$9:$A$82,"?*"),INDEX('SL bán theo ngày'!Y$9:Y$82,ROWS($A$11:$A60)),"")</f>
        <v/>
      </c>
      <c r="W60" s="49" t="str">
        <f t="array" aca="1" ref="W60" ca="1">IF(ROWS($A$11:$A60)&lt;=COUNTIF('SL bán theo ngày'!$A$9:$A$82,"?*"),INDEX('SL bán theo ngày'!Z$9:Z$82,ROWS($A$11:$A60)),"")</f>
        <v/>
      </c>
      <c r="X60" s="49" t="str">
        <f t="array" aca="1" ref="X60" ca="1">IF(ROWS($A$11:$A60)&lt;=COUNTIF('SL bán theo ngày'!$A$9:$A$82,"?*"),INDEX('SL bán theo ngày'!AA$9:AA$82,ROWS($A$11:$A60)),"")</f>
        <v/>
      </c>
      <c r="Y60" s="49" t="str">
        <f t="array" aca="1" ref="Y60" ca="1">IF(ROWS($A$11:$A60)&lt;=COUNTIF('SL bán theo ngày'!$A$9:$A$82,"?*"),INDEX('SL bán theo ngày'!AB$9:AB$82,ROWS($A$11:$A60)),"")</f>
        <v/>
      </c>
      <c r="Z60" s="49" t="str">
        <f t="array" aca="1" ref="Z60" ca="1">IF(ROWS($A$11:$A60)&lt;=COUNTIF('SL bán theo ngày'!$A$9:$A$82,"?*"),INDEX('SL bán theo ngày'!AC$9:AC$82,ROWS($A$11:$A60)),"")</f>
        <v/>
      </c>
      <c r="AA60" s="49" t="str">
        <f t="array" aca="1" ref="AA60" ca="1">IF(ROWS($A$11:$A60)&lt;=COUNTIF('SL bán theo ngày'!$A$9:$A$82,"?*"),INDEX('SL bán theo ngày'!AD$9:AD$82,ROWS($A$11:$A60)),"")</f>
        <v/>
      </c>
      <c r="AB60" s="49" t="str">
        <f t="array" aca="1" ref="AB60" ca="1">IF(ROWS($A$11:$A60)&lt;=COUNTIF('SL bán theo ngày'!$A$9:$A$82,"?*"),INDEX('SL bán theo ngày'!AE$9:AE$82,ROWS($A$11:$A60)),"")</f>
        <v/>
      </c>
      <c r="AC60" s="49" t="str">
        <f t="array" aca="1" ref="AC60" ca="1">IF(ROWS($A$11:$A60)&lt;=COUNTIF('SL bán theo ngày'!$A$9:$A$82,"?*"),INDEX('SL bán theo ngày'!AF$9:AF$82,ROWS($A$11:$A60)),"")</f>
        <v/>
      </c>
      <c r="AD60" s="49" t="str">
        <f t="array" aca="1" ref="AD60" ca="1">IF(ROWS($A$11:$A60)&lt;=COUNTIF('SL bán theo ngày'!$A$9:$A$82,"?*"),INDEX('SL bán theo ngày'!AG$9:AG$82,ROWS($A$11:$A60)),"")</f>
        <v/>
      </c>
      <c r="AE60" s="49" t="str">
        <f t="array" aca="1" ref="AE60" ca="1">IF(ROWS($A$11:$A60)&lt;=COUNTIF('SL bán theo ngày'!$A$9:$A$82,"?*"),INDEX('SL bán theo ngày'!AH$9:AH$82,ROWS($A$11:$A60)),"")</f>
        <v/>
      </c>
      <c r="AF60" s="49" t="str">
        <f t="array" aca="1" ref="AF60" ca="1">IF(ROWS($A$11:$A60)&lt;=COUNTIF('SL bán theo ngày'!$A$9:$A$82,"?*"),INDEX('SL bán theo ngày'!AI$9:AI$82,ROWS($A$11:$A60)),"")</f>
        <v/>
      </c>
      <c r="AG60" s="49" t="str">
        <f t="array" aca="1" ref="AG60" ca="1">IF(ROWS($A$11:$A60)&lt;=COUNTIF('SL bán theo ngày'!$A$9:$A$82,"?*"),INDEX('SL bán theo ngày'!C$9:C$82,ROWS($A$11:$A60)),"")</f>
        <v/>
      </c>
      <c r="AH60" s="74" t="str">
        <f t="array" aca="1" ref="AH60" ca="1">IF(ROWS($A$11:$A60)&lt;=COUNTIF('SL bán theo ngày'!$A$9:$A$82,"?*"),INDEX('SL bán theo ngày'!D$9:D$82,ROWS($A$11:$A60)),"")</f>
        <v/>
      </c>
      <c r="AI60" s="49" t="str">
        <f t="array" aca="1" ref="AI60" ca="1">IF(ROWS($A$11:$A60)&lt;=COUNTIF('SL bán theo ngày'!$A$9:$A$82,"?*"),INDEX('SL bán theo ngày'!E$9:E$82,ROWS($A$11:$A60)),"")</f>
        <v/>
      </c>
      <c r="AJ60" s="49" t="str">
        <f t="array" aca="1" ref="AJ60" ca="1">IF(ROWS($A$11:$A60)&lt;=COUNTIF('SL bán theo ngày'!$A$9:$A$82,"?*"),INDEX('SL bán theo ngày'!AJ$9:AJ$82,ROWS($A$11:$A60)),"")</f>
        <v/>
      </c>
      <c r="AK60" s="49" t="str">
        <f t="array" aca="1" ref="AK60" ca="1">IF(ROWS($A$11:$A60)&lt;=COUNTIF('SL bán theo ngày'!$A$9:$A$82,"?*"),INDEX('SL bán theo ngày'!AK$9:AK$82,ROWS($A$11:$A60)),"")</f>
        <v/>
      </c>
    </row>
    <row r="61" spans="1:37" ht="15.75" customHeight="1" x14ac:dyDescent="0.25">
      <c r="A61" s="33" t="str">
        <f t="array" aca="1" ref="A61" ca="1">IF(ROWS($A$11:$A61)&lt;=COUNTIF('SL bán theo ngày'!$A$9:$A$82,"?*"),INDEX('SL bán theo ngày'!A$9:A$82,ROWS($A$11:$A61)),"")</f>
        <v/>
      </c>
      <c r="B61" s="37" t="str">
        <f t="array" aca="1" ref="B61" ca="1">IF(ROWS($A$11:$A61)&lt;=COUNTIF('SL bán theo ngày'!$A$9:$A$82,"?*"),INDEX('SL bán theo ngày'!B$9:B$82,ROWS($A$11:$A61)),"")</f>
        <v/>
      </c>
      <c r="C61" s="79" t="str">
        <f t="array" aca="1" ref="C61" ca="1">IF(ROWS($A$11:$A61)&lt;=COUNTIF('SL bán theo ngày'!$A$9:$A$82,"?*"),INDEX('SL bán theo ngày'!F$9:F$82,ROWS($A$11:$A61)),"")</f>
        <v/>
      </c>
      <c r="D61" s="49" t="str">
        <f t="array" aca="1" ref="D61" ca="1">IF(ROWS($A$11:$A61)&lt;=COUNTIF('SL bán theo ngày'!$A$9:$A$82,"?*"),INDEX('SL bán theo ngày'!G$9:G$82,ROWS($A$11:$A61)),"")</f>
        <v/>
      </c>
      <c r="E61" s="49" t="str">
        <f t="array" aca="1" ref="E61" ca="1">IF(ROWS($A$11:$A61)&lt;=COUNTIF('SL bán theo ngày'!$A$9:$A$82,"?*"),INDEX('SL bán theo ngày'!H$9:H$82,ROWS($A$11:$A61)),"")</f>
        <v/>
      </c>
      <c r="F61" s="49" t="str">
        <f t="array" aca="1" ref="F61" ca="1">IF(ROWS($A$11:$A61)&lt;=COUNTIF('SL bán theo ngày'!$A$9:$A$82,"?*"),INDEX('SL bán theo ngày'!I$9:I$82,ROWS($A$11:$A61)),"")</f>
        <v/>
      </c>
      <c r="G61" s="49" t="str">
        <f t="array" aca="1" ref="G61" ca="1">IF(ROWS($A$11:$A61)&lt;=COUNTIF('SL bán theo ngày'!$A$9:$A$82,"?*"),INDEX('SL bán theo ngày'!J$9:J$82,ROWS($A$11:$A61)),"")</f>
        <v/>
      </c>
      <c r="H61" s="49" t="str">
        <f t="array" aca="1" ref="H61" ca="1">IF(ROWS($A$11:$A61)&lt;=COUNTIF('SL bán theo ngày'!$A$9:$A$82,"?*"),INDEX('SL bán theo ngày'!K$9:K$82,ROWS($A$11:$A61)),"")</f>
        <v/>
      </c>
      <c r="I61" s="49" t="str">
        <f t="array" aca="1" ref="I61" ca="1">IF(ROWS($A$11:$A61)&lt;=COUNTIF('SL bán theo ngày'!$A$9:$A$82,"?*"),INDEX('SL bán theo ngày'!L$9:L$82,ROWS($A$11:$A61)),"")</f>
        <v/>
      </c>
      <c r="J61" s="49" t="str">
        <f t="array" aca="1" ref="J61" ca="1">IF(ROWS($A$11:$A61)&lt;=COUNTIF('SL bán theo ngày'!$A$9:$A$82,"?*"),INDEX('SL bán theo ngày'!M$9:M$82,ROWS($A$11:$A61)),"")</f>
        <v/>
      </c>
      <c r="K61" s="49" t="str">
        <f t="array" aca="1" ref="K61" ca="1">IF(ROWS($A$11:$A61)&lt;=COUNTIF('SL bán theo ngày'!$A$9:$A$82,"?*"),INDEX('SL bán theo ngày'!N$9:N$82,ROWS($A$11:$A61)),"")</f>
        <v/>
      </c>
      <c r="L61" s="49" t="str">
        <f t="array" aca="1" ref="L61" ca="1">IF(ROWS($A$11:$A61)&lt;=COUNTIF('SL bán theo ngày'!$A$9:$A$82,"?*"),INDEX('SL bán theo ngày'!O$9:O$82,ROWS($A$11:$A61)),"")</f>
        <v/>
      </c>
      <c r="M61" s="49" t="str">
        <f t="array" aca="1" ref="M61" ca="1">IF(ROWS($A$11:$A61)&lt;=COUNTIF('SL bán theo ngày'!$A$9:$A$82,"?*"),INDEX('SL bán theo ngày'!P$9:P$82,ROWS($A$11:$A61)),"")</f>
        <v/>
      </c>
      <c r="N61" s="49" t="str">
        <f t="array" aca="1" ref="N61" ca="1">IF(ROWS($A$11:$A61)&lt;=COUNTIF('SL bán theo ngày'!$A$9:$A$82,"?*"),INDEX('SL bán theo ngày'!Q$9:Q$82,ROWS($A$11:$A61)),"")</f>
        <v/>
      </c>
      <c r="O61" s="49" t="str">
        <f t="array" aca="1" ref="O61" ca="1">IF(ROWS($A$11:$A61)&lt;=COUNTIF('SL bán theo ngày'!$A$9:$A$82,"?*"),INDEX('SL bán theo ngày'!R$9:R$82,ROWS($A$11:$A61)),"")</f>
        <v/>
      </c>
      <c r="P61" s="49" t="str">
        <f t="array" aca="1" ref="P61" ca="1">IF(ROWS($A$11:$A61)&lt;=COUNTIF('SL bán theo ngày'!$A$9:$A$82,"?*"),INDEX('SL bán theo ngày'!S$9:S$82,ROWS($A$11:$A61)),"")</f>
        <v/>
      </c>
      <c r="Q61" s="49" t="str">
        <f t="array" aca="1" ref="Q61" ca="1">IF(ROWS($A$11:$A61)&lt;=COUNTIF('SL bán theo ngày'!$A$9:$A$82,"?*"),INDEX('SL bán theo ngày'!T$9:T$82,ROWS($A$11:$A61)),"")</f>
        <v/>
      </c>
      <c r="R61" s="49" t="str">
        <f t="array" aca="1" ref="R61" ca="1">IF(ROWS($A$11:$A61)&lt;=COUNTIF('SL bán theo ngày'!$A$9:$A$82,"?*"),INDEX('SL bán theo ngày'!U$9:U$82,ROWS($A$11:$A61)),"")</f>
        <v/>
      </c>
      <c r="S61" s="49" t="str">
        <f t="array" aca="1" ref="S61" ca="1">IF(ROWS($A$11:$A61)&lt;=COUNTIF('SL bán theo ngày'!$A$9:$A$82,"?*"),INDEX('SL bán theo ngày'!V$9:V$82,ROWS($A$11:$A61)),"")</f>
        <v/>
      </c>
      <c r="T61" s="49" t="str">
        <f t="array" aca="1" ref="T61" ca="1">IF(ROWS($A$11:$A61)&lt;=COUNTIF('SL bán theo ngày'!$A$9:$A$82,"?*"),INDEX('SL bán theo ngày'!W$9:W$82,ROWS($A$11:$A61)),"")</f>
        <v/>
      </c>
      <c r="U61" s="49" t="str">
        <f t="array" aca="1" ref="U61" ca="1">IF(ROWS($A$11:$A61)&lt;=COUNTIF('SL bán theo ngày'!$A$9:$A$82,"?*"),INDEX('SL bán theo ngày'!X$9:X$82,ROWS($A$11:$A61)),"")</f>
        <v/>
      </c>
      <c r="V61" s="49" t="str">
        <f t="array" aca="1" ref="V61" ca="1">IF(ROWS($A$11:$A61)&lt;=COUNTIF('SL bán theo ngày'!$A$9:$A$82,"?*"),INDEX('SL bán theo ngày'!Y$9:Y$82,ROWS($A$11:$A61)),"")</f>
        <v/>
      </c>
      <c r="W61" s="49" t="str">
        <f t="array" aca="1" ref="W61" ca="1">IF(ROWS($A$11:$A61)&lt;=COUNTIF('SL bán theo ngày'!$A$9:$A$82,"?*"),INDEX('SL bán theo ngày'!Z$9:Z$82,ROWS($A$11:$A61)),"")</f>
        <v/>
      </c>
      <c r="X61" s="49" t="str">
        <f t="array" aca="1" ref="X61" ca="1">IF(ROWS($A$11:$A61)&lt;=COUNTIF('SL bán theo ngày'!$A$9:$A$82,"?*"),INDEX('SL bán theo ngày'!AA$9:AA$82,ROWS($A$11:$A61)),"")</f>
        <v/>
      </c>
      <c r="Y61" s="49" t="str">
        <f t="array" aca="1" ref="Y61" ca="1">IF(ROWS($A$11:$A61)&lt;=COUNTIF('SL bán theo ngày'!$A$9:$A$82,"?*"),INDEX('SL bán theo ngày'!AB$9:AB$82,ROWS($A$11:$A61)),"")</f>
        <v/>
      </c>
      <c r="Z61" s="49" t="str">
        <f t="array" aca="1" ref="Z61" ca="1">IF(ROWS($A$11:$A61)&lt;=COUNTIF('SL bán theo ngày'!$A$9:$A$82,"?*"),INDEX('SL bán theo ngày'!AC$9:AC$82,ROWS($A$11:$A61)),"")</f>
        <v/>
      </c>
      <c r="AA61" s="49" t="str">
        <f t="array" aca="1" ref="AA61" ca="1">IF(ROWS($A$11:$A61)&lt;=COUNTIF('SL bán theo ngày'!$A$9:$A$82,"?*"),INDEX('SL bán theo ngày'!AD$9:AD$82,ROWS($A$11:$A61)),"")</f>
        <v/>
      </c>
      <c r="AB61" s="49" t="str">
        <f t="array" aca="1" ref="AB61" ca="1">IF(ROWS($A$11:$A61)&lt;=COUNTIF('SL bán theo ngày'!$A$9:$A$82,"?*"),INDEX('SL bán theo ngày'!AE$9:AE$82,ROWS($A$11:$A61)),"")</f>
        <v/>
      </c>
      <c r="AC61" s="49" t="str">
        <f t="array" aca="1" ref="AC61" ca="1">IF(ROWS($A$11:$A61)&lt;=COUNTIF('SL bán theo ngày'!$A$9:$A$82,"?*"),INDEX('SL bán theo ngày'!AF$9:AF$82,ROWS($A$11:$A61)),"")</f>
        <v/>
      </c>
      <c r="AD61" s="49" t="str">
        <f t="array" aca="1" ref="AD61" ca="1">IF(ROWS($A$11:$A61)&lt;=COUNTIF('SL bán theo ngày'!$A$9:$A$82,"?*"),INDEX('SL bán theo ngày'!AG$9:AG$82,ROWS($A$11:$A61)),"")</f>
        <v/>
      </c>
      <c r="AE61" s="49" t="str">
        <f t="array" aca="1" ref="AE61" ca="1">IF(ROWS($A$11:$A61)&lt;=COUNTIF('SL bán theo ngày'!$A$9:$A$82,"?*"),INDEX('SL bán theo ngày'!AH$9:AH$82,ROWS($A$11:$A61)),"")</f>
        <v/>
      </c>
      <c r="AF61" s="49" t="str">
        <f t="array" aca="1" ref="AF61" ca="1">IF(ROWS($A$11:$A61)&lt;=COUNTIF('SL bán theo ngày'!$A$9:$A$82,"?*"),INDEX('SL bán theo ngày'!AI$9:AI$82,ROWS($A$11:$A61)),"")</f>
        <v/>
      </c>
      <c r="AG61" s="49" t="str">
        <f t="array" aca="1" ref="AG61" ca="1">IF(ROWS($A$11:$A61)&lt;=COUNTIF('SL bán theo ngày'!$A$9:$A$82,"?*"),INDEX('SL bán theo ngày'!C$9:C$82,ROWS($A$11:$A61)),"")</f>
        <v/>
      </c>
      <c r="AH61" s="74" t="str">
        <f t="array" aca="1" ref="AH61" ca="1">IF(ROWS($A$11:$A61)&lt;=COUNTIF('SL bán theo ngày'!$A$9:$A$82,"?*"),INDEX('SL bán theo ngày'!D$9:D$82,ROWS($A$11:$A61)),"")</f>
        <v/>
      </c>
      <c r="AI61" s="49" t="str">
        <f t="array" aca="1" ref="AI61" ca="1">IF(ROWS($A$11:$A61)&lt;=COUNTIF('SL bán theo ngày'!$A$9:$A$82,"?*"),INDEX('SL bán theo ngày'!E$9:E$82,ROWS($A$11:$A61)),"")</f>
        <v/>
      </c>
      <c r="AJ61" s="49" t="str">
        <f t="array" aca="1" ref="AJ61" ca="1">IF(ROWS($A$11:$A61)&lt;=COUNTIF('SL bán theo ngày'!$A$9:$A$82,"?*"),INDEX('SL bán theo ngày'!AJ$9:AJ$82,ROWS($A$11:$A61)),"")</f>
        <v/>
      </c>
      <c r="AK61" s="49" t="str">
        <f t="array" aca="1" ref="AK61" ca="1">IF(ROWS($A$11:$A61)&lt;=COUNTIF('SL bán theo ngày'!$A$9:$A$82,"?*"),INDEX('SL bán theo ngày'!AK$9:AK$82,ROWS($A$11:$A61)),"")</f>
        <v/>
      </c>
    </row>
    <row r="62" spans="1:37" ht="15.75" customHeight="1" x14ac:dyDescent="0.25">
      <c r="A62" s="33" t="str">
        <f t="array" aca="1" ref="A62" ca="1">IF(ROWS($A$11:$A62)&lt;=COUNTIF('SL bán theo ngày'!$A$9:$A$82,"?*"),INDEX('SL bán theo ngày'!A$9:A$82,ROWS($A$11:$A62)),"")</f>
        <v/>
      </c>
      <c r="B62" s="37" t="str">
        <f t="array" aca="1" ref="B62" ca="1">IF(ROWS($A$11:$A62)&lt;=COUNTIF('SL bán theo ngày'!$A$9:$A$82,"?*"),INDEX('SL bán theo ngày'!B$9:B$82,ROWS($A$11:$A62)),"")</f>
        <v/>
      </c>
      <c r="C62" s="79" t="str">
        <f t="array" aca="1" ref="C62" ca="1">IF(ROWS($A$11:$A62)&lt;=COUNTIF('SL bán theo ngày'!$A$9:$A$82,"?*"),INDEX('SL bán theo ngày'!F$9:F$82,ROWS($A$11:$A62)),"")</f>
        <v/>
      </c>
      <c r="D62" s="49" t="str">
        <f t="array" aca="1" ref="D62" ca="1">IF(ROWS($A$11:$A62)&lt;=COUNTIF('SL bán theo ngày'!$A$9:$A$82,"?*"),INDEX('SL bán theo ngày'!G$9:G$82,ROWS($A$11:$A62)),"")</f>
        <v/>
      </c>
      <c r="E62" s="49" t="str">
        <f t="array" aca="1" ref="E62" ca="1">IF(ROWS($A$11:$A62)&lt;=COUNTIF('SL bán theo ngày'!$A$9:$A$82,"?*"),INDEX('SL bán theo ngày'!H$9:H$82,ROWS($A$11:$A62)),"")</f>
        <v/>
      </c>
      <c r="F62" s="49" t="str">
        <f t="array" aca="1" ref="F62" ca="1">IF(ROWS($A$11:$A62)&lt;=COUNTIF('SL bán theo ngày'!$A$9:$A$82,"?*"),INDEX('SL bán theo ngày'!I$9:I$82,ROWS($A$11:$A62)),"")</f>
        <v/>
      </c>
      <c r="G62" s="49" t="str">
        <f t="array" aca="1" ref="G62" ca="1">IF(ROWS($A$11:$A62)&lt;=COUNTIF('SL bán theo ngày'!$A$9:$A$82,"?*"),INDEX('SL bán theo ngày'!J$9:J$82,ROWS($A$11:$A62)),"")</f>
        <v/>
      </c>
      <c r="H62" s="49" t="str">
        <f t="array" aca="1" ref="H62" ca="1">IF(ROWS($A$11:$A62)&lt;=COUNTIF('SL bán theo ngày'!$A$9:$A$82,"?*"),INDEX('SL bán theo ngày'!K$9:K$82,ROWS($A$11:$A62)),"")</f>
        <v/>
      </c>
      <c r="I62" s="49" t="str">
        <f t="array" aca="1" ref="I62" ca="1">IF(ROWS($A$11:$A62)&lt;=COUNTIF('SL bán theo ngày'!$A$9:$A$82,"?*"),INDEX('SL bán theo ngày'!L$9:L$82,ROWS($A$11:$A62)),"")</f>
        <v/>
      </c>
      <c r="J62" s="49" t="str">
        <f t="array" aca="1" ref="J62" ca="1">IF(ROWS($A$11:$A62)&lt;=COUNTIF('SL bán theo ngày'!$A$9:$A$82,"?*"),INDEX('SL bán theo ngày'!M$9:M$82,ROWS($A$11:$A62)),"")</f>
        <v/>
      </c>
      <c r="K62" s="49" t="str">
        <f t="array" aca="1" ref="K62" ca="1">IF(ROWS($A$11:$A62)&lt;=COUNTIF('SL bán theo ngày'!$A$9:$A$82,"?*"),INDEX('SL bán theo ngày'!N$9:N$82,ROWS($A$11:$A62)),"")</f>
        <v/>
      </c>
      <c r="L62" s="49" t="str">
        <f t="array" aca="1" ref="L62" ca="1">IF(ROWS($A$11:$A62)&lt;=COUNTIF('SL bán theo ngày'!$A$9:$A$82,"?*"),INDEX('SL bán theo ngày'!O$9:O$82,ROWS($A$11:$A62)),"")</f>
        <v/>
      </c>
      <c r="M62" s="49" t="str">
        <f t="array" aca="1" ref="M62" ca="1">IF(ROWS($A$11:$A62)&lt;=COUNTIF('SL bán theo ngày'!$A$9:$A$82,"?*"),INDEX('SL bán theo ngày'!P$9:P$82,ROWS($A$11:$A62)),"")</f>
        <v/>
      </c>
      <c r="N62" s="49" t="str">
        <f t="array" aca="1" ref="N62" ca="1">IF(ROWS($A$11:$A62)&lt;=COUNTIF('SL bán theo ngày'!$A$9:$A$82,"?*"),INDEX('SL bán theo ngày'!Q$9:Q$82,ROWS($A$11:$A62)),"")</f>
        <v/>
      </c>
      <c r="O62" s="49" t="str">
        <f t="array" aca="1" ref="O62" ca="1">IF(ROWS($A$11:$A62)&lt;=COUNTIF('SL bán theo ngày'!$A$9:$A$82,"?*"),INDEX('SL bán theo ngày'!R$9:R$82,ROWS($A$11:$A62)),"")</f>
        <v/>
      </c>
      <c r="P62" s="49" t="str">
        <f t="array" aca="1" ref="P62" ca="1">IF(ROWS($A$11:$A62)&lt;=COUNTIF('SL bán theo ngày'!$A$9:$A$82,"?*"),INDEX('SL bán theo ngày'!S$9:S$82,ROWS($A$11:$A62)),"")</f>
        <v/>
      </c>
      <c r="Q62" s="49" t="str">
        <f t="array" aca="1" ref="Q62" ca="1">IF(ROWS($A$11:$A62)&lt;=COUNTIF('SL bán theo ngày'!$A$9:$A$82,"?*"),INDEX('SL bán theo ngày'!T$9:T$82,ROWS($A$11:$A62)),"")</f>
        <v/>
      </c>
      <c r="R62" s="49" t="str">
        <f t="array" aca="1" ref="R62" ca="1">IF(ROWS($A$11:$A62)&lt;=COUNTIF('SL bán theo ngày'!$A$9:$A$82,"?*"),INDEX('SL bán theo ngày'!U$9:U$82,ROWS($A$11:$A62)),"")</f>
        <v/>
      </c>
      <c r="S62" s="49" t="str">
        <f t="array" aca="1" ref="S62" ca="1">IF(ROWS($A$11:$A62)&lt;=COUNTIF('SL bán theo ngày'!$A$9:$A$82,"?*"),INDEX('SL bán theo ngày'!V$9:V$82,ROWS($A$11:$A62)),"")</f>
        <v/>
      </c>
      <c r="T62" s="49" t="str">
        <f t="array" aca="1" ref="T62" ca="1">IF(ROWS($A$11:$A62)&lt;=COUNTIF('SL bán theo ngày'!$A$9:$A$82,"?*"),INDEX('SL bán theo ngày'!W$9:W$82,ROWS($A$11:$A62)),"")</f>
        <v/>
      </c>
      <c r="U62" s="49" t="str">
        <f t="array" aca="1" ref="U62" ca="1">IF(ROWS($A$11:$A62)&lt;=COUNTIF('SL bán theo ngày'!$A$9:$A$82,"?*"),INDEX('SL bán theo ngày'!X$9:X$82,ROWS($A$11:$A62)),"")</f>
        <v/>
      </c>
      <c r="V62" s="49" t="str">
        <f t="array" aca="1" ref="V62" ca="1">IF(ROWS($A$11:$A62)&lt;=COUNTIF('SL bán theo ngày'!$A$9:$A$82,"?*"),INDEX('SL bán theo ngày'!Y$9:Y$82,ROWS($A$11:$A62)),"")</f>
        <v/>
      </c>
      <c r="W62" s="49" t="str">
        <f t="array" aca="1" ref="W62" ca="1">IF(ROWS($A$11:$A62)&lt;=COUNTIF('SL bán theo ngày'!$A$9:$A$82,"?*"),INDEX('SL bán theo ngày'!Z$9:Z$82,ROWS($A$11:$A62)),"")</f>
        <v/>
      </c>
      <c r="X62" s="49" t="str">
        <f t="array" aca="1" ref="X62" ca="1">IF(ROWS($A$11:$A62)&lt;=COUNTIF('SL bán theo ngày'!$A$9:$A$82,"?*"),INDEX('SL bán theo ngày'!AA$9:AA$82,ROWS($A$11:$A62)),"")</f>
        <v/>
      </c>
      <c r="Y62" s="49" t="str">
        <f t="array" aca="1" ref="Y62" ca="1">IF(ROWS($A$11:$A62)&lt;=COUNTIF('SL bán theo ngày'!$A$9:$A$82,"?*"),INDEX('SL bán theo ngày'!AB$9:AB$82,ROWS($A$11:$A62)),"")</f>
        <v/>
      </c>
      <c r="Z62" s="49" t="str">
        <f t="array" aca="1" ref="Z62" ca="1">IF(ROWS($A$11:$A62)&lt;=COUNTIF('SL bán theo ngày'!$A$9:$A$82,"?*"),INDEX('SL bán theo ngày'!AC$9:AC$82,ROWS($A$11:$A62)),"")</f>
        <v/>
      </c>
      <c r="AA62" s="49" t="str">
        <f t="array" aca="1" ref="AA62" ca="1">IF(ROWS($A$11:$A62)&lt;=COUNTIF('SL bán theo ngày'!$A$9:$A$82,"?*"),INDEX('SL bán theo ngày'!AD$9:AD$82,ROWS($A$11:$A62)),"")</f>
        <v/>
      </c>
      <c r="AB62" s="49" t="str">
        <f t="array" aca="1" ref="AB62" ca="1">IF(ROWS($A$11:$A62)&lt;=COUNTIF('SL bán theo ngày'!$A$9:$A$82,"?*"),INDEX('SL bán theo ngày'!AE$9:AE$82,ROWS($A$11:$A62)),"")</f>
        <v/>
      </c>
      <c r="AC62" s="49" t="str">
        <f t="array" aca="1" ref="AC62" ca="1">IF(ROWS($A$11:$A62)&lt;=COUNTIF('SL bán theo ngày'!$A$9:$A$82,"?*"),INDEX('SL bán theo ngày'!AF$9:AF$82,ROWS($A$11:$A62)),"")</f>
        <v/>
      </c>
      <c r="AD62" s="49" t="str">
        <f t="array" aca="1" ref="AD62" ca="1">IF(ROWS($A$11:$A62)&lt;=COUNTIF('SL bán theo ngày'!$A$9:$A$82,"?*"),INDEX('SL bán theo ngày'!AG$9:AG$82,ROWS($A$11:$A62)),"")</f>
        <v/>
      </c>
      <c r="AE62" s="49" t="str">
        <f t="array" aca="1" ref="AE62" ca="1">IF(ROWS($A$11:$A62)&lt;=COUNTIF('SL bán theo ngày'!$A$9:$A$82,"?*"),INDEX('SL bán theo ngày'!AH$9:AH$82,ROWS($A$11:$A62)),"")</f>
        <v/>
      </c>
      <c r="AF62" s="49" t="str">
        <f t="array" aca="1" ref="AF62" ca="1">IF(ROWS($A$11:$A62)&lt;=COUNTIF('SL bán theo ngày'!$A$9:$A$82,"?*"),INDEX('SL bán theo ngày'!AI$9:AI$82,ROWS($A$11:$A62)),"")</f>
        <v/>
      </c>
      <c r="AG62" s="49" t="str">
        <f t="array" aca="1" ref="AG62" ca="1">IF(ROWS($A$11:$A62)&lt;=COUNTIF('SL bán theo ngày'!$A$9:$A$82,"?*"),INDEX('SL bán theo ngày'!C$9:C$82,ROWS($A$11:$A62)),"")</f>
        <v/>
      </c>
      <c r="AH62" s="74" t="str">
        <f t="array" aca="1" ref="AH62" ca="1">IF(ROWS($A$11:$A62)&lt;=COUNTIF('SL bán theo ngày'!$A$9:$A$82,"?*"),INDEX('SL bán theo ngày'!D$9:D$82,ROWS($A$11:$A62)),"")</f>
        <v/>
      </c>
      <c r="AI62" s="49" t="str">
        <f t="array" aca="1" ref="AI62" ca="1">IF(ROWS($A$11:$A62)&lt;=COUNTIF('SL bán theo ngày'!$A$9:$A$82,"?*"),INDEX('SL bán theo ngày'!E$9:E$82,ROWS($A$11:$A62)),"")</f>
        <v/>
      </c>
      <c r="AJ62" s="49" t="str">
        <f t="array" aca="1" ref="AJ62" ca="1">IF(ROWS($A$11:$A62)&lt;=COUNTIF('SL bán theo ngày'!$A$9:$A$82,"?*"),INDEX('SL bán theo ngày'!AJ$9:AJ$82,ROWS($A$11:$A62)),"")</f>
        <v/>
      </c>
      <c r="AK62" s="49" t="str">
        <f t="array" aca="1" ref="AK62" ca="1">IF(ROWS($A$11:$A62)&lt;=COUNTIF('SL bán theo ngày'!$A$9:$A$82,"?*"),INDEX('SL bán theo ngày'!AK$9:AK$82,ROWS($A$11:$A62)),"")</f>
        <v/>
      </c>
    </row>
    <row r="63" spans="1:37" ht="15.75" customHeight="1" x14ac:dyDescent="0.25">
      <c r="A63" s="33" t="str">
        <f t="array" aca="1" ref="A63" ca="1">IF(ROWS($A$11:$A63)&lt;=COUNTIF('SL bán theo ngày'!$A$9:$A$82,"?*"),INDEX('SL bán theo ngày'!A$9:A$82,ROWS($A$11:$A63)),"")</f>
        <v/>
      </c>
      <c r="B63" s="37" t="str">
        <f t="array" aca="1" ref="B63" ca="1">IF(ROWS($A$11:$A63)&lt;=COUNTIF('SL bán theo ngày'!$A$9:$A$82,"?*"),INDEX('SL bán theo ngày'!B$9:B$82,ROWS($A$11:$A63)),"")</f>
        <v/>
      </c>
      <c r="C63" s="79" t="str">
        <f t="array" aca="1" ref="C63" ca="1">IF(ROWS($A$11:$A63)&lt;=COUNTIF('SL bán theo ngày'!$A$9:$A$82,"?*"),INDEX('SL bán theo ngày'!F$9:F$82,ROWS($A$11:$A63)),"")</f>
        <v/>
      </c>
      <c r="D63" s="49" t="str">
        <f t="array" aca="1" ref="D63" ca="1">IF(ROWS($A$11:$A63)&lt;=COUNTIF('SL bán theo ngày'!$A$9:$A$82,"?*"),INDEX('SL bán theo ngày'!G$9:G$82,ROWS($A$11:$A63)),"")</f>
        <v/>
      </c>
      <c r="E63" s="49" t="str">
        <f t="array" aca="1" ref="E63" ca="1">IF(ROWS($A$11:$A63)&lt;=COUNTIF('SL bán theo ngày'!$A$9:$A$82,"?*"),INDEX('SL bán theo ngày'!H$9:H$82,ROWS($A$11:$A63)),"")</f>
        <v/>
      </c>
      <c r="F63" s="49" t="str">
        <f t="array" aca="1" ref="F63" ca="1">IF(ROWS($A$11:$A63)&lt;=COUNTIF('SL bán theo ngày'!$A$9:$A$82,"?*"),INDEX('SL bán theo ngày'!I$9:I$82,ROWS($A$11:$A63)),"")</f>
        <v/>
      </c>
      <c r="G63" s="49" t="str">
        <f t="array" aca="1" ref="G63" ca="1">IF(ROWS($A$11:$A63)&lt;=COUNTIF('SL bán theo ngày'!$A$9:$A$82,"?*"),INDEX('SL bán theo ngày'!J$9:J$82,ROWS($A$11:$A63)),"")</f>
        <v/>
      </c>
      <c r="H63" s="49" t="str">
        <f t="array" aca="1" ref="H63" ca="1">IF(ROWS($A$11:$A63)&lt;=COUNTIF('SL bán theo ngày'!$A$9:$A$82,"?*"),INDEX('SL bán theo ngày'!K$9:K$82,ROWS($A$11:$A63)),"")</f>
        <v/>
      </c>
      <c r="I63" s="49" t="str">
        <f t="array" aca="1" ref="I63" ca="1">IF(ROWS($A$11:$A63)&lt;=COUNTIF('SL bán theo ngày'!$A$9:$A$82,"?*"),INDEX('SL bán theo ngày'!L$9:L$82,ROWS($A$11:$A63)),"")</f>
        <v/>
      </c>
      <c r="J63" s="49" t="str">
        <f t="array" aca="1" ref="J63" ca="1">IF(ROWS($A$11:$A63)&lt;=COUNTIF('SL bán theo ngày'!$A$9:$A$82,"?*"),INDEX('SL bán theo ngày'!M$9:M$82,ROWS($A$11:$A63)),"")</f>
        <v/>
      </c>
      <c r="K63" s="49" t="str">
        <f t="array" aca="1" ref="K63" ca="1">IF(ROWS($A$11:$A63)&lt;=COUNTIF('SL bán theo ngày'!$A$9:$A$82,"?*"),INDEX('SL bán theo ngày'!N$9:N$82,ROWS($A$11:$A63)),"")</f>
        <v/>
      </c>
      <c r="L63" s="49" t="str">
        <f t="array" aca="1" ref="L63" ca="1">IF(ROWS($A$11:$A63)&lt;=COUNTIF('SL bán theo ngày'!$A$9:$A$82,"?*"),INDEX('SL bán theo ngày'!O$9:O$82,ROWS($A$11:$A63)),"")</f>
        <v/>
      </c>
      <c r="M63" s="49" t="str">
        <f t="array" aca="1" ref="M63" ca="1">IF(ROWS($A$11:$A63)&lt;=COUNTIF('SL bán theo ngày'!$A$9:$A$82,"?*"),INDEX('SL bán theo ngày'!P$9:P$82,ROWS($A$11:$A63)),"")</f>
        <v/>
      </c>
      <c r="N63" s="49" t="str">
        <f t="array" aca="1" ref="N63" ca="1">IF(ROWS($A$11:$A63)&lt;=COUNTIF('SL bán theo ngày'!$A$9:$A$82,"?*"),INDEX('SL bán theo ngày'!Q$9:Q$82,ROWS($A$11:$A63)),"")</f>
        <v/>
      </c>
      <c r="O63" s="49" t="str">
        <f t="array" aca="1" ref="O63" ca="1">IF(ROWS($A$11:$A63)&lt;=COUNTIF('SL bán theo ngày'!$A$9:$A$82,"?*"),INDEX('SL bán theo ngày'!R$9:R$82,ROWS($A$11:$A63)),"")</f>
        <v/>
      </c>
      <c r="P63" s="49" t="str">
        <f t="array" aca="1" ref="P63" ca="1">IF(ROWS($A$11:$A63)&lt;=COUNTIF('SL bán theo ngày'!$A$9:$A$82,"?*"),INDEX('SL bán theo ngày'!S$9:S$82,ROWS($A$11:$A63)),"")</f>
        <v/>
      </c>
      <c r="Q63" s="49" t="str">
        <f t="array" aca="1" ref="Q63" ca="1">IF(ROWS($A$11:$A63)&lt;=COUNTIF('SL bán theo ngày'!$A$9:$A$82,"?*"),INDEX('SL bán theo ngày'!T$9:T$82,ROWS($A$11:$A63)),"")</f>
        <v/>
      </c>
      <c r="R63" s="49" t="str">
        <f t="array" aca="1" ref="R63" ca="1">IF(ROWS($A$11:$A63)&lt;=COUNTIF('SL bán theo ngày'!$A$9:$A$82,"?*"),INDEX('SL bán theo ngày'!U$9:U$82,ROWS($A$11:$A63)),"")</f>
        <v/>
      </c>
      <c r="S63" s="49" t="str">
        <f t="array" aca="1" ref="S63" ca="1">IF(ROWS($A$11:$A63)&lt;=COUNTIF('SL bán theo ngày'!$A$9:$A$82,"?*"),INDEX('SL bán theo ngày'!V$9:V$82,ROWS($A$11:$A63)),"")</f>
        <v/>
      </c>
      <c r="T63" s="49" t="str">
        <f t="array" aca="1" ref="T63" ca="1">IF(ROWS($A$11:$A63)&lt;=COUNTIF('SL bán theo ngày'!$A$9:$A$82,"?*"),INDEX('SL bán theo ngày'!W$9:W$82,ROWS($A$11:$A63)),"")</f>
        <v/>
      </c>
      <c r="U63" s="49" t="str">
        <f t="array" aca="1" ref="U63" ca="1">IF(ROWS($A$11:$A63)&lt;=COUNTIF('SL bán theo ngày'!$A$9:$A$82,"?*"),INDEX('SL bán theo ngày'!X$9:X$82,ROWS($A$11:$A63)),"")</f>
        <v/>
      </c>
      <c r="V63" s="49" t="str">
        <f t="array" aca="1" ref="V63" ca="1">IF(ROWS($A$11:$A63)&lt;=COUNTIF('SL bán theo ngày'!$A$9:$A$82,"?*"),INDEX('SL bán theo ngày'!Y$9:Y$82,ROWS($A$11:$A63)),"")</f>
        <v/>
      </c>
      <c r="W63" s="49" t="str">
        <f t="array" aca="1" ref="W63" ca="1">IF(ROWS($A$11:$A63)&lt;=COUNTIF('SL bán theo ngày'!$A$9:$A$82,"?*"),INDEX('SL bán theo ngày'!Z$9:Z$82,ROWS($A$11:$A63)),"")</f>
        <v/>
      </c>
      <c r="X63" s="49" t="str">
        <f t="array" aca="1" ref="X63" ca="1">IF(ROWS($A$11:$A63)&lt;=COUNTIF('SL bán theo ngày'!$A$9:$A$82,"?*"),INDEX('SL bán theo ngày'!AA$9:AA$82,ROWS($A$11:$A63)),"")</f>
        <v/>
      </c>
      <c r="Y63" s="49" t="str">
        <f t="array" aca="1" ref="Y63" ca="1">IF(ROWS($A$11:$A63)&lt;=COUNTIF('SL bán theo ngày'!$A$9:$A$82,"?*"),INDEX('SL bán theo ngày'!AB$9:AB$82,ROWS($A$11:$A63)),"")</f>
        <v/>
      </c>
      <c r="Z63" s="49" t="str">
        <f t="array" aca="1" ref="Z63" ca="1">IF(ROWS($A$11:$A63)&lt;=COUNTIF('SL bán theo ngày'!$A$9:$A$82,"?*"),INDEX('SL bán theo ngày'!AC$9:AC$82,ROWS($A$11:$A63)),"")</f>
        <v/>
      </c>
      <c r="AA63" s="49" t="str">
        <f t="array" aca="1" ref="AA63" ca="1">IF(ROWS($A$11:$A63)&lt;=COUNTIF('SL bán theo ngày'!$A$9:$A$82,"?*"),INDEX('SL bán theo ngày'!AD$9:AD$82,ROWS($A$11:$A63)),"")</f>
        <v/>
      </c>
      <c r="AB63" s="49" t="str">
        <f t="array" aca="1" ref="AB63" ca="1">IF(ROWS($A$11:$A63)&lt;=COUNTIF('SL bán theo ngày'!$A$9:$A$82,"?*"),INDEX('SL bán theo ngày'!AE$9:AE$82,ROWS($A$11:$A63)),"")</f>
        <v/>
      </c>
      <c r="AC63" s="49" t="str">
        <f t="array" aca="1" ref="AC63" ca="1">IF(ROWS($A$11:$A63)&lt;=COUNTIF('SL bán theo ngày'!$A$9:$A$82,"?*"),INDEX('SL bán theo ngày'!AF$9:AF$82,ROWS($A$11:$A63)),"")</f>
        <v/>
      </c>
      <c r="AD63" s="49" t="str">
        <f t="array" aca="1" ref="AD63" ca="1">IF(ROWS($A$11:$A63)&lt;=COUNTIF('SL bán theo ngày'!$A$9:$A$82,"?*"),INDEX('SL bán theo ngày'!AG$9:AG$82,ROWS($A$11:$A63)),"")</f>
        <v/>
      </c>
      <c r="AE63" s="49" t="str">
        <f t="array" aca="1" ref="AE63" ca="1">IF(ROWS($A$11:$A63)&lt;=COUNTIF('SL bán theo ngày'!$A$9:$A$82,"?*"),INDEX('SL bán theo ngày'!AH$9:AH$82,ROWS($A$11:$A63)),"")</f>
        <v/>
      </c>
      <c r="AF63" s="49" t="str">
        <f t="array" aca="1" ref="AF63" ca="1">IF(ROWS($A$11:$A63)&lt;=COUNTIF('SL bán theo ngày'!$A$9:$A$82,"?*"),INDEX('SL bán theo ngày'!AI$9:AI$82,ROWS($A$11:$A63)),"")</f>
        <v/>
      </c>
      <c r="AG63" s="49" t="str">
        <f t="array" aca="1" ref="AG63" ca="1">IF(ROWS($A$11:$A63)&lt;=COUNTIF('SL bán theo ngày'!$A$9:$A$82,"?*"),INDEX('SL bán theo ngày'!C$9:C$82,ROWS($A$11:$A63)),"")</f>
        <v/>
      </c>
      <c r="AH63" s="74" t="str">
        <f t="array" aca="1" ref="AH63" ca="1">IF(ROWS($A$11:$A63)&lt;=COUNTIF('SL bán theo ngày'!$A$9:$A$82,"?*"),INDEX('SL bán theo ngày'!D$9:D$82,ROWS($A$11:$A63)),"")</f>
        <v/>
      </c>
      <c r="AI63" s="49" t="str">
        <f t="array" aca="1" ref="AI63" ca="1">IF(ROWS($A$11:$A63)&lt;=COUNTIF('SL bán theo ngày'!$A$9:$A$82,"?*"),INDEX('SL bán theo ngày'!E$9:E$82,ROWS($A$11:$A63)),"")</f>
        <v/>
      </c>
      <c r="AJ63" s="49" t="str">
        <f t="array" aca="1" ref="AJ63" ca="1">IF(ROWS($A$11:$A63)&lt;=COUNTIF('SL bán theo ngày'!$A$9:$A$82,"?*"),INDEX('SL bán theo ngày'!AJ$9:AJ$82,ROWS($A$11:$A63)),"")</f>
        <v/>
      </c>
      <c r="AK63" s="49" t="str">
        <f t="array" aca="1" ref="AK63" ca="1">IF(ROWS($A$11:$A63)&lt;=COUNTIF('SL bán theo ngày'!$A$9:$A$82,"?*"),INDEX('SL bán theo ngày'!AK$9:AK$82,ROWS($A$11:$A63)),"")</f>
        <v/>
      </c>
    </row>
    <row r="64" spans="1:37" ht="15.75" customHeight="1" x14ac:dyDescent="0.25">
      <c r="A64" s="33" t="str">
        <f t="array" aca="1" ref="A64" ca="1">IF(ROWS($A$11:$A64)&lt;=COUNTIF('SL bán theo ngày'!$A$9:$A$82,"?*"),INDEX('SL bán theo ngày'!A$9:A$82,ROWS($A$11:$A64)),"")</f>
        <v/>
      </c>
      <c r="B64" s="37" t="str">
        <f t="array" aca="1" ref="B64" ca="1">IF(ROWS($A$11:$A64)&lt;=COUNTIF('SL bán theo ngày'!$A$9:$A$82,"?*"),INDEX('SL bán theo ngày'!B$9:B$82,ROWS($A$11:$A64)),"")</f>
        <v/>
      </c>
      <c r="C64" s="79" t="str">
        <f t="array" aca="1" ref="C64" ca="1">IF(ROWS($A$11:$A64)&lt;=COUNTIF('SL bán theo ngày'!$A$9:$A$82,"?*"),INDEX('SL bán theo ngày'!F$9:F$82,ROWS($A$11:$A64)),"")</f>
        <v/>
      </c>
      <c r="D64" s="49" t="str">
        <f t="array" aca="1" ref="D64" ca="1">IF(ROWS($A$11:$A64)&lt;=COUNTIF('SL bán theo ngày'!$A$9:$A$82,"?*"),INDEX('SL bán theo ngày'!G$9:G$82,ROWS($A$11:$A64)),"")</f>
        <v/>
      </c>
      <c r="E64" s="49" t="str">
        <f t="array" aca="1" ref="E64" ca="1">IF(ROWS($A$11:$A64)&lt;=COUNTIF('SL bán theo ngày'!$A$9:$A$82,"?*"),INDEX('SL bán theo ngày'!H$9:H$82,ROWS($A$11:$A64)),"")</f>
        <v/>
      </c>
      <c r="F64" s="49" t="str">
        <f t="array" aca="1" ref="F64" ca="1">IF(ROWS($A$11:$A64)&lt;=COUNTIF('SL bán theo ngày'!$A$9:$A$82,"?*"),INDEX('SL bán theo ngày'!I$9:I$82,ROWS($A$11:$A64)),"")</f>
        <v/>
      </c>
      <c r="G64" s="49" t="str">
        <f t="array" aca="1" ref="G64" ca="1">IF(ROWS($A$11:$A64)&lt;=COUNTIF('SL bán theo ngày'!$A$9:$A$82,"?*"),INDEX('SL bán theo ngày'!J$9:J$82,ROWS($A$11:$A64)),"")</f>
        <v/>
      </c>
      <c r="H64" s="49" t="str">
        <f t="array" aca="1" ref="H64" ca="1">IF(ROWS($A$11:$A64)&lt;=COUNTIF('SL bán theo ngày'!$A$9:$A$82,"?*"),INDEX('SL bán theo ngày'!K$9:K$82,ROWS($A$11:$A64)),"")</f>
        <v/>
      </c>
      <c r="I64" s="49" t="str">
        <f t="array" aca="1" ref="I64" ca="1">IF(ROWS($A$11:$A64)&lt;=COUNTIF('SL bán theo ngày'!$A$9:$A$82,"?*"),INDEX('SL bán theo ngày'!L$9:L$82,ROWS($A$11:$A64)),"")</f>
        <v/>
      </c>
      <c r="J64" s="49" t="str">
        <f t="array" aca="1" ref="J64" ca="1">IF(ROWS($A$11:$A64)&lt;=COUNTIF('SL bán theo ngày'!$A$9:$A$82,"?*"),INDEX('SL bán theo ngày'!M$9:M$82,ROWS($A$11:$A64)),"")</f>
        <v/>
      </c>
      <c r="K64" s="49" t="str">
        <f t="array" aca="1" ref="K64" ca="1">IF(ROWS($A$11:$A64)&lt;=COUNTIF('SL bán theo ngày'!$A$9:$A$82,"?*"),INDEX('SL bán theo ngày'!N$9:N$82,ROWS($A$11:$A64)),"")</f>
        <v/>
      </c>
      <c r="L64" s="49" t="str">
        <f t="array" aca="1" ref="L64" ca="1">IF(ROWS($A$11:$A64)&lt;=COUNTIF('SL bán theo ngày'!$A$9:$A$82,"?*"),INDEX('SL bán theo ngày'!O$9:O$82,ROWS($A$11:$A64)),"")</f>
        <v/>
      </c>
      <c r="M64" s="49" t="str">
        <f t="array" aca="1" ref="M64" ca="1">IF(ROWS($A$11:$A64)&lt;=COUNTIF('SL bán theo ngày'!$A$9:$A$82,"?*"),INDEX('SL bán theo ngày'!P$9:P$82,ROWS($A$11:$A64)),"")</f>
        <v/>
      </c>
      <c r="N64" s="49" t="str">
        <f t="array" aca="1" ref="N64" ca="1">IF(ROWS($A$11:$A64)&lt;=COUNTIF('SL bán theo ngày'!$A$9:$A$82,"?*"),INDEX('SL bán theo ngày'!Q$9:Q$82,ROWS($A$11:$A64)),"")</f>
        <v/>
      </c>
      <c r="O64" s="49" t="str">
        <f t="array" aca="1" ref="O64" ca="1">IF(ROWS($A$11:$A64)&lt;=COUNTIF('SL bán theo ngày'!$A$9:$A$82,"?*"),INDEX('SL bán theo ngày'!R$9:R$82,ROWS($A$11:$A64)),"")</f>
        <v/>
      </c>
      <c r="P64" s="49" t="str">
        <f t="array" aca="1" ref="P64" ca="1">IF(ROWS($A$11:$A64)&lt;=COUNTIF('SL bán theo ngày'!$A$9:$A$82,"?*"),INDEX('SL bán theo ngày'!S$9:S$82,ROWS($A$11:$A64)),"")</f>
        <v/>
      </c>
      <c r="Q64" s="49" t="str">
        <f t="array" aca="1" ref="Q64" ca="1">IF(ROWS($A$11:$A64)&lt;=COUNTIF('SL bán theo ngày'!$A$9:$A$82,"?*"),INDEX('SL bán theo ngày'!T$9:T$82,ROWS($A$11:$A64)),"")</f>
        <v/>
      </c>
      <c r="R64" s="49" t="str">
        <f t="array" aca="1" ref="R64" ca="1">IF(ROWS($A$11:$A64)&lt;=COUNTIF('SL bán theo ngày'!$A$9:$A$82,"?*"),INDEX('SL bán theo ngày'!U$9:U$82,ROWS($A$11:$A64)),"")</f>
        <v/>
      </c>
      <c r="S64" s="49" t="str">
        <f t="array" aca="1" ref="S64" ca="1">IF(ROWS($A$11:$A64)&lt;=COUNTIF('SL bán theo ngày'!$A$9:$A$82,"?*"),INDEX('SL bán theo ngày'!V$9:V$82,ROWS($A$11:$A64)),"")</f>
        <v/>
      </c>
      <c r="T64" s="49" t="str">
        <f t="array" aca="1" ref="T64" ca="1">IF(ROWS($A$11:$A64)&lt;=COUNTIF('SL bán theo ngày'!$A$9:$A$82,"?*"),INDEX('SL bán theo ngày'!W$9:W$82,ROWS($A$11:$A64)),"")</f>
        <v/>
      </c>
      <c r="U64" s="49" t="str">
        <f t="array" aca="1" ref="U64" ca="1">IF(ROWS($A$11:$A64)&lt;=COUNTIF('SL bán theo ngày'!$A$9:$A$82,"?*"),INDEX('SL bán theo ngày'!X$9:X$82,ROWS($A$11:$A64)),"")</f>
        <v/>
      </c>
      <c r="V64" s="49" t="str">
        <f t="array" aca="1" ref="V64" ca="1">IF(ROWS($A$11:$A64)&lt;=COUNTIF('SL bán theo ngày'!$A$9:$A$82,"?*"),INDEX('SL bán theo ngày'!Y$9:Y$82,ROWS($A$11:$A64)),"")</f>
        <v/>
      </c>
      <c r="W64" s="49" t="str">
        <f t="array" aca="1" ref="W64" ca="1">IF(ROWS($A$11:$A64)&lt;=COUNTIF('SL bán theo ngày'!$A$9:$A$82,"?*"),INDEX('SL bán theo ngày'!Z$9:Z$82,ROWS($A$11:$A64)),"")</f>
        <v/>
      </c>
      <c r="X64" s="49" t="str">
        <f t="array" aca="1" ref="X64" ca="1">IF(ROWS($A$11:$A64)&lt;=COUNTIF('SL bán theo ngày'!$A$9:$A$82,"?*"),INDEX('SL bán theo ngày'!AA$9:AA$82,ROWS($A$11:$A64)),"")</f>
        <v/>
      </c>
      <c r="Y64" s="49" t="str">
        <f t="array" aca="1" ref="Y64" ca="1">IF(ROWS($A$11:$A64)&lt;=COUNTIF('SL bán theo ngày'!$A$9:$A$82,"?*"),INDEX('SL bán theo ngày'!AB$9:AB$82,ROWS($A$11:$A64)),"")</f>
        <v/>
      </c>
      <c r="Z64" s="49" t="str">
        <f t="array" aca="1" ref="Z64" ca="1">IF(ROWS($A$11:$A64)&lt;=COUNTIF('SL bán theo ngày'!$A$9:$A$82,"?*"),INDEX('SL bán theo ngày'!AC$9:AC$82,ROWS($A$11:$A64)),"")</f>
        <v/>
      </c>
      <c r="AA64" s="49" t="str">
        <f t="array" aca="1" ref="AA64" ca="1">IF(ROWS($A$11:$A64)&lt;=COUNTIF('SL bán theo ngày'!$A$9:$A$82,"?*"),INDEX('SL bán theo ngày'!AD$9:AD$82,ROWS($A$11:$A64)),"")</f>
        <v/>
      </c>
      <c r="AB64" s="49" t="str">
        <f t="array" aca="1" ref="AB64" ca="1">IF(ROWS($A$11:$A64)&lt;=COUNTIF('SL bán theo ngày'!$A$9:$A$82,"?*"),INDEX('SL bán theo ngày'!AE$9:AE$82,ROWS($A$11:$A64)),"")</f>
        <v/>
      </c>
      <c r="AC64" s="49" t="str">
        <f t="array" aca="1" ref="AC64" ca="1">IF(ROWS($A$11:$A64)&lt;=COUNTIF('SL bán theo ngày'!$A$9:$A$82,"?*"),INDEX('SL bán theo ngày'!AF$9:AF$82,ROWS($A$11:$A64)),"")</f>
        <v/>
      </c>
      <c r="AD64" s="49" t="str">
        <f t="array" aca="1" ref="AD64" ca="1">IF(ROWS($A$11:$A64)&lt;=COUNTIF('SL bán theo ngày'!$A$9:$A$82,"?*"),INDEX('SL bán theo ngày'!AG$9:AG$82,ROWS($A$11:$A64)),"")</f>
        <v/>
      </c>
      <c r="AE64" s="49" t="str">
        <f t="array" aca="1" ref="AE64" ca="1">IF(ROWS($A$11:$A64)&lt;=COUNTIF('SL bán theo ngày'!$A$9:$A$82,"?*"),INDEX('SL bán theo ngày'!AH$9:AH$82,ROWS($A$11:$A64)),"")</f>
        <v/>
      </c>
      <c r="AF64" s="49" t="str">
        <f t="array" aca="1" ref="AF64" ca="1">IF(ROWS($A$11:$A64)&lt;=COUNTIF('SL bán theo ngày'!$A$9:$A$82,"?*"),INDEX('SL bán theo ngày'!AI$9:AI$82,ROWS($A$11:$A64)),"")</f>
        <v/>
      </c>
      <c r="AG64" s="49" t="str">
        <f t="array" aca="1" ref="AG64" ca="1">IF(ROWS($A$11:$A64)&lt;=COUNTIF('SL bán theo ngày'!$A$9:$A$82,"?*"),INDEX('SL bán theo ngày'!C$9:C$82,ROWS($A$11:$A64)),"")</f>
        <v/>
      </c>
      <c r="AH64" s="74" t="str">
        <f t="array" aca="1" ref="AH64" ca="1">IF(ROWS($A$11:$A64)&lt;=COUNTIF('SL bán theo ngày'!$A$9:$A$82,"?*"),INDEX('SL bán theo ngày'!D$9:D$82,ROWS($A$11:$A64)),"")</f>
        <v/>
      </c>
      <c r="AI64" s="49" t="str">
        <f t="array" aca="1" ref="AI64" ca="1">IF(ROWS($A$11:$A64)&lt;=COUNTIF('SL bán theo ngày'!$A$9:$A$82,"?*"),INDEX('SL bán theo ngày'!E$9:E$82,ROWS($A$11:$A64)),"")</f>
        <v/>
      </c>
      <c r="AJ64" s="49" t="str">
        <f t="array" aca="1" ref="AJ64" ca="1">IF(ROWS($A$11:$A64)&lt;=COUNTIF('SL bán theo ngày'!$A$9:$A$82,"?*"),INDEX('SL bán theo ngày'!AJ$9:AJ$82,ROWS($A$11:$A64)),"")</f>
        <v/>
      </c>
      <c r="AK64" s="49" t="str">
        <f t="array" aca="1" ref="AK64" ca="1">IF(ROWS($A$11:$A64)&lt;=COUNTIF('SL bán theo ngày'!$A$9:$A$82,"?*"),INDEX('SL bán theo ngày'!AK$9:AK$82,ROWS($A$11:$A64)),"")</f>
        <v/>
      </c>
    </row>
    <row r="65" spans="1:37" ht="15.75" customHeight="1" x14ac:dyDescent="0.25">
      <c r="A65" s="33" t="str">
        <f t="array" aca="1" ref="A65" ca="1">IF(ROWS($A$11:$A65)&lt;=COUNTIF('SL bán theo ngày'!$A$9:$A$82,"?*"),INDEX('SL bán theo ngày'!A$9:A$82,ROWS($A$11:$A65)),"")</f>
        <v/>
      </c>
      <c r="B65" s="37" t="str">
        <f t="array" aca="1" ref="B65" ca="1">IF(ROWS($A$11:$A65)&lt;=COUNTIF('SL bán theo ngày'!$A$9:$A$82,"?*"),INDEX('SL bán theo ngày'!B$9:B$82,ROWS($A$11:$A65)),"")</f>
        <v/>
      </c>
      <c r="C65" s="79" t="str">
        <f t="array" aca="1" ref="C65" ca="1">IF(ROWS($A$11:$A65)&lt;=COUNTIF('SL bán theo ngày'!$A$9:$A$82,"?*"),INDEX('SL bán theo ngày'!F$9:F$82,ROWS($A$11:$A65)),"")</f>
        <v/>
      </c>
      <c r="D65" s="49" t="str">
        <f t="array" aca="1" ref="D65" ca="1">IF(ROWS($A$11:$A65)&lt;=COUNTIF('SL bán theo ngày'!$A$9:$A$82,"?*"),INDEX('SL bán theo ngày'!G$9:G$82,ROWS($A$11:$A65)),"")</f>
        <v/>
      </c>
      <c r="E65" s="49" t="str">
        <f t="array" aca="1" ref="E65" ca="1">IF(ROWS($A$11:$A65)&lt;=COUNTIF('SL bán theo ngày'!$A$9:$A$82,"?*"),INDEX('SL bán theo ngày'!H$9:H$82,ROWS($A$11:$A65)),"")</f>
        <v/>
      </c>
      <c r="F65" s="49" t="str">
        <f t="array" aca="1" ref="F65" ca="1">IF(ROWS($A$11:$A65)&lt;=COUNTIF('SL bán theo ngày'!$A$9:$A$82,"?*"),INDEX('SL bán theo ngày'!I$9:I$82,ROWS($A$11:$A65)),"")</f>
        <v/>
      </c>
      <c r="G65" s="49" t="str">
        <f t="array" aca="1" ref="G65" ca="1">IF(ROWS($A$11:$A65)&lt;=COUNTIF('SL bán theo ngày'!$A$9:$A$82,"?*"),INDEX('SL bán theo ngày'!J$9:J$82,ROWS($A$11:$A65)),"")</f>
        <v/>
      </c>
      <c r="H65" s="49" t="str">
        <f t="array" aca="1" ref="H65" ca="1">IF(ROWS($A$11:$A65)&lt;=COUNTIF('SL bán theo ngày'!$A$9:$A$82,"?*"),INDEX('SL bán theo ngày'!K$9:K$82,ROWS($A$11:$A65)),"")</f>
        <v/>
      </c>
      <c r="I65" s="49" t="str">
        <f t="array" aca="1" ref="I65" ca="1">IF(ROWS($A$11:$A65)&lt;=COUNTIF('SL bán theo ngày'!$A$9:$A$82,"?*"),INDEX('SL bán theo ngày'!L$9:L$82,ROWS($A$11:$A65)),"")</f>
        <v/>
      </c>
      <c r="J65" s="49" t="str">
        <f t="array" aca="1" ref="J65" ca="1">IF(ROWS($A$11:$A65)&lt;=COUNTIF('SL bán theo ngày'!$A$9:$A$82,"?*"),INDEX('SL bán theo ngày'!M$9:M$82,ROWS($A$11:$A65)),"")</f>
        <v/>
      </c>
      <c r="K65" s="49" t="str">
        <f t="array" aca="1" ref="K65" ca="1">IF(ROWS($A$11:$A65)&lt;=COUNTIF('SL bán theo ngày'!$A$9:$A$82,"?*"),INDEX('SL bán theo ngày'!N$9:N$82,ROWS($A$11:$A65)),"")</f>
        <v/>
      </c>
      <c r="L65" s="49" t="str">
        <f t="array" aca="1" ref="L65" ca="1">IF(ROWS($A$11:$A65)&lt;=COUNTIF('SL bán theo ngày'!$A$9:$A$82,"?*"),INDEX('SL bán theo ngày'!O$9:O$82,ROWS($A$11:$A65)),"")</f>
        <v/>
      </c>
      <c r="M65" s="49" t="str">
        <f t="array" aca="1" ref="M65" ca="1">IF(ROWS($A$11:$A65)&lt;=COUNTIF('SL bán theo ngày'!$A$9:$A$82,"?*"),INDEX('SL bán theo ngày'!P$9:P$82,ROWS($A$11:$A65)),"")</f>
        <v/>
      </c>
      <c r="N65" s="49" t="str">
        <f t="array" aca="1" ref="N65" ca="1">IF(ROWS($A$11:$A65)&lt;=COUNTIF('SL bán theo ngày'!$A$9:$A$82,"?*"),INDEX('SL bán theo ngày'!Q$9:Q$82,ROWS($A$11:$A65)),"")</f>
        <v/>
      </c>
      <c r="O65" s="49" t="str">
        <f t="array" aca="1" ref="O65" ca="1">IF(ROWS($A$11:$A65)&lt;=COUNTIF('SL bán theo ngày'!$A$9:$A$82,"?*"),INDEX('SL bán theo ngày'!R$9:R$82,ROWS($A$11:$A65)),"")</f>
        <v/>
      </c>
      <c r="P65" s="49" t="str">
        <f t="array" aca="1" ref="P65" ca="1">IF(ROWS($A$11:$A65)&lt;=COUNTIF('SL bán theo ngày'!$A$9:$A$82,"?*"),INDEX('SL bán theo ngày'!S$9:S$82,ROWS($A$11:$A65)),"")</f>
        <v/>
      </c>
      <c r="Q65" s="49" t="str">
        <f t="array" aca="1" ref="Q65" ca="1">IF(ROWS($A$11:$A65)&lt;=COUNTIF('SL bán theo ngày'!$A$9:$A$82,"?*"),INDEX('SL bán theo ngày'!T$9:T$82,ROWS($A$11:$A65)),"")</f>
        <v/>
      </c>
      <c r="R65" s="49" t="str">
        <f t="array" aca="1" ref="R65" ca="1">IF(ROWS($A$11:$A65)&lt;=COUNTIF('SL bán theo ngày'!$A$9:$A$82,"?*"),INDEX('SL bán theo ngày'!U$9:U$82,ROWS($A$11:$A65)),"")</f>
        <v/>
      </c>
      <c r="S65" s="49" t="str">
        <f t="array" aca="1" ref="S65" ca="1">IF(ROWS($A$11:$A65)&lt;=COUNTIF('SL bán theo ngày'!$A$9:$A$82,"?*"),INDEX('SL bán theo ngày'!V$9:V$82,ROWS($A$11:$A65)),"")</f>
        <v/>
      </c>
      <c r="T65" s="49" t="str">
        <f t="array" aca="1" ref="T65" ca="1">IF(ROWS($A$11:$A65)&lt;=COUNTIF('SL bán theo ngày'!$A$9:$A$82,"?*"),INDEX('SL bán theo ngày'!W$9:W$82,ROWS($A$11:$A65)),"")</f>
        <v/>
      </c>
      <c r="U65" s="49" t="str">
        <f t="array" aca="1" ref="U65" ca="1">IF(ROWS($A$11:$A65)&lt;=COUNTIF('SL bán theo ngày'!$A$9:$A$82,"?*"),INDEX('SL bán theo ngày'!X$9:X$82,ROWS($A$11:$A65)),"")</f>
        <v/>
      </c>
      <c r="V65" s="49" t="str">
        <f t="array" aca="1" ref="V65" ca="1">IF(ROWS($A$11:$A65)&lt;=COUNTIF('SL bán theo ngày'!$A$9:$A$82,"?*"),INDEX('SL bán theo ngày'!Y$9:Y$82,ROWS($A$11:$A65)),"")</f>
        <v/>
      </c>
      <c r="W65" s="49" t="str">
        <f t="array" aca="1" ref="W65" ca="1">IF(ROWS($A$11:$A65)&lt;=COUNTIF('SL bán theo ngày'!$A$9:$A$82,"?*"),INDEX('SL bán theo ngày'!Z$9:Z$82,ROWS($A$11:$A65)),"")</f>
        <v/>
      </c>
      <c r="X65" s="49" t="str">
        <f t="array" aca="1" ref="X65" ca="1">IF(ROWS($A$11:$A65)&lt;=COUNTIF('SL bán theo ngày'!$A$9:$A$82,"?*"),INDEX('SL bán theo ngày'!AA$9:AA$82,ROWS($A$11:$A65)),"")</f>
        <v/>
      </c>
      <c r="Y65" s="49" t="str">
        <f t="array" aca="1" ref="Y65" ca="1">IF(ROWS($A$11:$A65)&lt;=COUNTIF('SL bán theo ngày'!$A$9:$A$82,"?*"),INDEX('SL bán theo ngày'!AB$9:AB$82,ROWS($A$11:$A65)),"")</f>
        <v/>
      </c>
      <c r="Z65" s="49" t="str">
        <f t="array" aca="1" ref="Z65" ca="1">IF(ROWS($A$11:$A65)&lt;=COUNTIF('SL bán theo ngày'!$A$9:$A$82,"?*"),INDEX('SL bán theo ngày'!AC$9:AC$82,ROWS($A$11:$A65)),"")</f>
        <v/>
      </c>
      <c r="AA65" s="49" t="str">
        <f t="array" aca="1" ref="AA65" ca="1">IF(ROWS($A$11:$A65)&lt;=COUNTIF('SL bán theo ngày'!$A$9:$A$82,"?*"),INDEX('SL bán theo ngày'!AD$9:AD$82,ROWS($A$11:$A65)),"")</f>
        <v/>
      </c>
      <c r="AB65" s="49" t="str">
        <f t="array" aca="1" ref="AB65" ca="1">IF(ROWS($A$11:$A65)&lt;=COUNTIF('SL bán theo ngày'!$A$9:$A$82,"?*"),INDEX('SL bán theo ngày'!AE$9:AE$82,ROWS($A$11:$A65)),"")</f>
        <v/>
      </c>
      <c r="AC65" s="49" t="str">
        <f t="array" aca="1" ref="AC65" ca="1">IF(ROWS($A$11:$A65)&lt;=COUNTIF('SL bán theo ngày'!$A$9:$A$82,"?*"),INDEX('SL bán theo ngày'!AF$9:AF$82,ROWS($A$11:$A65)),"")</f>
        <v/>
      </c>
      <c r="AD65" s="49" t="str">
        <f t="array" aca="1" ref="AD65" ca="1">IF(ROWS($A$11:$A65)&lt;=COUNTIF('SL bán theo ngày'!$A$9:$A$82,"?*"),INDEX('SL bán theo ngày'!AG$9:AG$82,ROWS($A$11:$A65)),"")</f>
        <v/>
      </c>
      <c r="AE65" s="49" t="str">
        <f t="array" aca="1" ref="AE65" ca="1">IF(ROWS($A$11:$A65)&lt;=COUNTIF('SL bán theo ngày'!$A$9:$A$82,"?*"),INDEX('SL bán theo ngày'!AH$9:AH$82,ROWS($A$11:$A65)),"")</f>
        <v/>
      </c>
      <c r="AF65" s="49" t="str">
        <f t="array" aca="1" ref="AF65" ca="1">IF(ROWS($A$11:$A65)&lt;=COUNTIF('SL bán theo ngày'!$A$9:$A$82,"?*"),INDEX('SL bán theo ngày'!AI$9:AI$82,ROWS($A$11:$A65)),"")</f>
        <v/>
      </c>
      <c r="AG65" s="49" t="str">
        <f t="array" aca="1" ref="AG65" ca="1">IF(ROWS($A$11:$A65)&lt;=COUNTIF('SL bán theo ngày'!$A$9:$A$82,"?*"),INDEX('SL bán theo ngày'!C$9:C$82,ROWS($A$11:$A65)),"")</f>
        <v/>
      </c>
      <c r="AH65" s="74" t="str">
        <f t="array" aca="1" ref="AH65" ca="1">IF(ROWS($A$11:$A65)&lt;=COUNTIF('SL bán theo ngày'!$A$9:$A$82,"?*"),INDEX('SL bán theo ngày'!D$9:D$82,ROWS($A$11:$A65)),"")</f>
        <v/>
      </c>
      <c r="AI65" s="49" t="str">
        <f t="array" aca="1" ref="AI65" ca="1">IF(ROWS($A$11:$A65)&lt;=COUNTIF('SL bán theo ngày'!$A$9:$A$82,"?*"),INDEX('SL bán theo ngày'!E$9:E$82,ROWS($A$11:$A65)),"")</f>
        <v/>
      </c>
      <c r="AJ65" s="49" t="str">
        <f t="array" aca="1" ref="AJ65" ca="1">IF(ROWS($A$11:$A65)&lt;=COUNTIF('SL bán theo ngày'!$A$9:$A$82,"?*"),INDEX('SL bán theo ngày'!AJ$9:AJ$82,ROWS($A$11:$A65)),"")</f>
        <v/>
      </c>
      <c r="AK65" s="49" t="str">
        <f t="array" aca="1" ref="AK65" ca="1">IF(ROWS($A$11:$A65)&lt;=COUNTIF('SL bán theo ngày'!$A$9:$A$82,"?*"),INDEX('SL bán theo ngày'!AK$9:AK$82,ROWS($A$11:$A65)),"")</f>
        <v/>
      </c>
    </row>
    <row r="66" spans="1:37" ht="15.75" customHeight="1" x14ac:dyDescent="0.25">
      <c r="A66" s="33" t="str">
        <f t="array" aca="1" ref="A66" ca="1">IF(ROWS($A$11:$A66)&lt;=COUNTIF('SL bán theo ngày'!$A$9:$A$82,"?*"),INDEX('SL bán theo ngày'!A$9:A$82,ROWS($A$11:$A66)),"")</f>
        <v/>
      </c>
      <c r="B66" s="37" t="str">
        <f t="array" aca="1" ref="B66" ca="1">IF(ROWS($A$11:$A66)&lt;=COUNTIF('SL bán theo ngày'!$A$9:$A$82,"?*"),INDEX('SL bán theo ngày'!B$9:B$82,ROWS($A$11:$A66)),"")</f>
        <v/>
      </c>
      <c r="C66" s="79" t="str">
        <f t="array" aca="1" ref="C66" ca="1">IF(ROWS($A$11:$A66)&lt;=COUNTIF('SL bán theo ngày'!$A$9:$A$82,"?*"),INDEX('SL bán theo ngày'!F$9:F$82,ROWS($A$11:$A66)),"")</f>
        <v/>
      </c>
      <c r="D66" s="49" t="str">
        <f t="array" aca="1" ref="D66" ca="1">IF(ROWS($A$11:$A66)&lt;=COUNTIF('SL bán theo ngày'!$A$9:$A$82,"?*"),INDEX('SL bán theo ngày'!G$9:G$82,ROWS($A$11:$A66)),"")</f>
        <v/>
      </c>
      <c r="E66" s="49" t="str">
        <f t="array" aca="1" ref="E66" ca="1">IF(ROWS($A$11:$A66)&lt;=COUNTIF('SL bán theo ngày'!$A$9:$A$82,"?*"),INDEX('SL bán theo ngày'!H$9:H$82,ROWS($A$11:$A66)),"")</f>
        <v/>
      </c>
      <c r="F66" s="49" t="str">
        <f t="array" aca="1" ref="F66" ca="1">IF(ROWS($A$11:$A66)&lt;=COUNTIF('SL bán theo ngày'!$A$9:$A$82,"?*"),INDEX('SL bán theo ngày'!I$9:I$82,ROWS($A$11:$A66)),"")</f>
        <v/>
      </c>
      <c r="G66" s="49" t="str">
        <f t="array" aca="1" ref="G66" ca="1">IF(ROWS($A$11:$A66)&lt;=COUNTIF('SL bán theo ngày'!$A$9:$A$82,"?*"),INDEX('SL bán theo ngày'!J$9:J$82,ROWS($A$11:$A66)),"")</f>
        <v/>
      </c>
      <c r="H66" s="49" t="str">
        <f t="array" aca="1" ref="H66" ca="1">IF(ROWS($A$11:$A66)&lt;=COUNTIF('SL bán theo ngày'!$A$9:$A$82,"?*"),INDEX('SL bán theo ngày'!K$9:K$82,ROWS($A$11:$A66)),"")</f>
        <v/>
      </c>
      <c r="I66" s="49" t="str">
        <f t="array" aca="1" ref="I66" ca="1">IF(ROWS($A$11:$A66)&lt;=COUNTIF('SL bán theo ngày'!$A$9:$A$82,"?*"),INDEX('SL bán theo ngày'!L$9:L$82,ROWS($A$11:$A66)),"")</f>
        <v/>
      </c>
      <c r="J66" s="49" t="str">
        <f t="array" aca="1" ref="J66" ca="1">IF(ROWS($A$11:$A66)&lt;=COUNTIF('SL bán theo ngày'!$A$9:$A$82,"?*"),INDEX('SL bán theo ngày'!M$9:M$82,ROWS($A$11:$A66)),"")</f>
        <v/>
      </c>
      <c r="K66" s="49" t="str">
        <f t="array" aca="1" ref="K66" ca="1">IF(ROWS($A$11:$A66)&lt;=COUNTIF('SL bán theo ngày'!$A$9:$A$82,"?*"),INDEX('SL bán theo ngày'!N$9:N$82,ROWS($A$11:$A66)),"")</f>
        <v/>
      </c>
      <c r="L66" s="49" t="str">
        <f t="array" aca="1" ref="L66" ca="1">IF(ROWS($A$11:$A66)&lt;=COUNTIF('SL bán theo ngày'!$A$9:$A$82,"?*"),INDEX('SL bán theo ngày'!O$9:O$82,ROWS($A$11:$A66)),"")</f>
        <v/>
      </c>
      <c r="M66" s="49" t="str">
        <f t="array" aca="1" ref="M66" ca="1">IF(ROWS($A$11:$A66)&lt;=COUNTIF('SL bán theo ngày'!$A$9:$A$82,"?*"),INDEX('SL bán theo ngày'!P$9:P$82,ROWS($A$11:$A66)),"")</f>
        <v/>
      </c>
      <c r="N66" s="49" t="str">
        <f t="array" aca="1" ref="N66" ca="1">IF(ROWS($A$11:$A66)&lt;=COUNTIF('SL bán theo ngày'!$A$9:$A$82,"?*"),INDEX('SL bán theo ngày'!Q$9:Q$82,ROWS($A$11:$A66)),"")</f>
        <v/>
      </c>
      <c r="O66" s="49" t="str">
        <f t="array" aca="1" ref="O66" ca="1">IF(ROWS($A$11:$A66)&lt;=COUNTIF('SL bán theo ngày'!$A$9:$A$82,"?*"),INDEX('SL bán theo ngày'!R$9:R$82,ROWS($A$11:$A66)),"")</f>
        <v/>
      </c>
      <c r="P66" s="49" t="str">
        <f t="array" aca="1" ref="P66" ca="1">IF(ROWS($A$11:$A66)&lt;=COUNTIF('SL bán theo ngày'!$A$9:$A$82,"?*"),INDEX('SL bán theo ngày'!S$9:S$82,ROWS($A$11:$A66)),"")</f>
        <v/>
      </c>
      <c r="Q66" s="49" t="str">
        <f t="array" aca="1" ref="Q66" ca="1">IF(ROWS($A$11:$A66)&lt;=COUNTIF('SL bán theo ngày'!$A$9:$A$82,"?*"),INDEX('SL bán theo ngày'!T$9:T$82,ROWS($A$11:$A66)),"")</f>
        <v/>
      </c>
      <c r="R66" s="49" t="str">
        <f t="array" aca="1" ref="R66" ca="1">IF(ROWS($A$11:$A66)&lt;=COUNTIF('SL bán theo ngày'!$A$9:$A$82,"?*"),INDEX('SL bán theo ngày'!U$9:U$82,ROWS($A$11:$A66)),"")</f>
        <v/>
      </c>
      <c r="S66" s="49" t="str">
        <f t="array" aca="1" ref="S66" ca="1">IF(ROWS($A$11:$A66)&lt;=COUNTIF('SL bán theo ngày'!$A$9:$A$82,"?*"),INDEX('SL bán theo ngày'!V$9:V$82,ROWS($A$11:$A66)),"")</f>
        <v/>
      </c>
      <c r="T66" s="49" t="str">
        <f t="array" aca="1" ref="T66" ca="1">IF(ROWS($A$11:$A66)&lt;=COUNTIF('SL bán theo ngày'!$A$9:$A$82,"?*"),INDEX('SL bán theo ngày'!W$9:W$82,ROWS($A$11:$A66)),"")</f>
        <v/>
      </c>
      <c r="U66" s="49" t="str">
        <f t="array" aca="1" ref="U66" ca="1">IF(ROWS($A$11:$A66)&lt;=COUNTIF('SL bán theo ngày'!$A$9:$A$82,"?*"),INDEX('SL bán theo ngày'!X$9:X$82,ROWS($A$11:$A66)),"")</f>
        <v/>
      </c>
      <c r="V66" s="49" t="str">
        <f t="array" aca="1" ref="V66" ca="1">IF(ROWS($A$11:$A66)&lt;=COUNTIF('SL bán theo ngày'!$A$9:$A$82,"?*"),INDEX('SL bán theo ngày'!Y$9:Y$82,ROWS($A$11:$A66)),"")</f>
        <v/>
      </c>
      <c r="W66" s="49" t="str">
        <f t="array" aca="1" ref="W66" ca="1">IF(ROWS($A$11:$A66)&lt;=COUNTIF('SL bán theo ngày'!$A$9:$A$82,"?*"),INDEX('SL bán theo ngày'!Z$9:Z$82,ROWS($A$11:$A66)),"")</f>
        <v/>
      </c>
      <c r="X66" s="49" t="str">
        <f t="array" aca="1" ref="X66" ca="1">IF(ROWS($A$11:$A66)&lt;=COUNTIF('SL bán theo ngày'!$A$9:$A$82,"?*"),INDEX('SL bán theo ngày'!AA$9:AA$82,ROWS($A$11:$A66)),"")</f>
        <v/>
      </c>
      <c r="Y66" s="49" t="str">
        <f t="array" aca="1" ref="Y66" ca="1">IF(ROWS($A$11:$A66)&lt;=COUNTIF('SL bán theo ngày'!$A$9:$A$82,"?*"),INDEX('SL bán theo ngày'!AB$9:AB$82,ROWS($A$11:$A66)),"")</f>
        <v/>
      </c>
      <c r="Z66" s="49" t="str">
        <f t="array" aca="1" ref="Z66" ca="1">IF(ROWS($A$11:$A66)&lt;=COUNTIF('SL bán theo ngày'!$A$9:$A$82,"?*"),INDEX('SL bán theo ngày'!AC$9:AC$82,ROWS($A$11:$A66)),"")</f>
        <v/>
      </c>
      <c r="AA66" s="49" t="str">
        <f t="array" aca="1" ref="AA66" ca="1">IF(ROWS($A$11:$A66)&lt;=COUNTIF('SL bán theo ngày'!$A$9:$A$82,"?*"),INDEX('SL bán theo ngày'!AD$9:AD$82,ROWS($A$11:$A66)),"")</f>
        <v/>
      </c>
      <c r="AB66" s="49" t="str">
        <f t="array" aca="1" ref="AB66" ca="1">IF(ROWS($A$11:$A66)&lt;=COUNTIF('SL bán theo ngày'!$A$9:$A$82,"?*"),INDEX('SL bán theo ngày'!AE$9:AE$82,ROWS($A$11:$A66)),"")</f>
        <v/>
      </c>
      <c r="AC66" s="49" t="str">
        <f t="array" aca="1" ref="AC66" ca="1">IF(ROWS($A$11:$A66)&lt;=COUNTIF('SL bán theo ngày'!$A$9:$A$82,"?*"),INDEX('SL bán theo ngày'!AF$9:AF$82,ROWS($A$11:$A66)),"")</f>
        <v/>
      </c>
      <c r="AD66" s="49" t="str">
        <f t="array" aca="1" ref="AD66" ca="1">IF(ROWS($A$11:$A66)&lt;=COUNTIF('SL bán theo ngày'!$A$9:$A$82,"?*"),INDEX('SL bán theo ngày'!AG$9:AG$82,ROWS($A$11:$A66)),"")</f>
        <v/>
      </c>
      <c r="AE66" s="49" t="str">
        <f t="array" aca="1" ref="AE66" ca="1">IF(ROWS($A$11:$A66)&lt;=COUNTIF('SL bán theo ngày'!$A$9:$A$82,"?*"),INDEX('SL bán theo ngày'!AH$9:AH$82,ROWS($A$11:$A66)),"")</f>
        <v/>
      </c>
      <c r="AF66" s="49" t="str">
        <f t="array" aca="1" ref="AF66" ca="1">IF(ROWS($A$11:$A66)&lt;=COUNTIF('SL bán theo ngày'!$A$9:$A$82,"?*"),INDEX('SL bán theo ngày'!AI$9:AI$82,ROWS($A$11:$A66)),"")</f>
        <v/>
      </c>
      <c r="AG66" s="49" t="str">
        <f t="array" aca="1" ref="AG66" ca="1">IF(ROWS($A$11:$A66)&lt;=COUNTIF('SL bán theo ngày'!$A$9:$A$82,"?*"),INDEX('SL bán theo ngày'!C$9:C$82,ROWS($A$11:$A66)),"")</f>
        <v/>
      </c>
      <c r="AH66" s="74" t="str">
        <f t="array" aca="1" ref="AH66" ca="1">IF(ROWS($A$11:$A66)&lt;=COUNTIF('SL bán theo ngày'!$A$9:$A$82,"?*"),INDEX('SL bán theo ngày'!D$9:D$82,ROWS($A$11:$A66)),"")</f>
        <v/>
      </c>
      <c r="AI66" s="49" t="str">
        <f t="array" aca="1" ref="AI66" ca="1">IF(ROWS($A$11:$A66)&lt;=COUNTIF('SL bán theo ngày'!$A$9:$A$82,"?*"),INDEX('SL bán theo ngày'!E$9:E$82,ROWS($A$11:$A66)),"")</f>
        <v/>
      </c>
      <c r="AJ66" s="49" t="str">
        <f t="array" aca="1" ref="AJ66" ca="1">IF(ROWS($A$11:$A66)&lt;=COUNTIF('SL bán theo ngày'!$A$9:$A$82,"?*"),INDEX('SL bán theo ngày'!AJ$9:AJ$82,ROWS($A$11:$A66)),"")</f>
        <v/>
      </c>
      <c r="AK66" s="49" t="str">
        <f t="array" aca="1" ref="AK66" ca="1">IF(ROWS($A$11:$A66)&lt;=COUNTIF('SL bán theo ngày'!$A$9:$A$82,"?*"),INDEX('SL bán theo ngày'!AK$9:AK$82,ROWS($A$11:$A66)),"")</f>
        <v/>
      </c>
    </row>
    <row r="67" spans="1:37" ht="15.75" customHeight="1" x14ac:dyDescent="0.25">
      <c r="A67" s="33" t="str">
        <f t="array" aca="1" ref="A67" ca="1">IF(ROWS($A$11:$A67)&lt;=COUNTIF('SL bán theo ngày'!$A$9:$A$82,"?*"),INDEX('SL bán theo ngày'!A$9:A$82,ROWS($A$11:$A67)),"")</f>
        <v/>
      </c>
      <c r="B67" s="37" t="str">
        <f t="array" aca="1" ref="B67" ca="1">IF(ROWS($A$11:$A67)&lt;=COUNTIF('SL bán theo ngày'!$A$9:$A$82,"?*"),INDEX('SL bán theo ngày'!B$9:B$82,ROWS($A$11:$A67)),"")</f>
        <v/>
      </c>
      <c r="C67" s="79" t="str">
        <f t="array" aca="1" ref="C67" ca="1">IF(ROWS($A$11:$A67)&lt;=COUNTIF('SL bán theo ngày'!$A$9:$A$82,"?*"),INDEX('SL bán theo ngày'!F$9:F$82,ROWS($A$11:$A67)),"")</f>
        <v/>
      </c>
      <c r="D67" s="49" t="str">
        <f t="array" aca="1" ref="D67" ca="1">IF(ROWS($A$11:$A67)&lt;=COUNTIF('SL bán theo ngày'!$A$9:$A$82,"?*"),INDEX('SL bán theo ngày'!G$9:G$82,ROWS($A$11:$A67)),"")</f>
        <v/>
      </c>
      <c r="E67" s="49" t="str">
        <f t="array" aca="1" ref="E67" ca="1">IF(ROWS($A$11:$A67)&lt;=COUNTIF('SL bán theo ngày'!$A$9:$A$82,"?*"),INDEX('SL bán theo ngày'!H$9:H$82,ROWS($A$11:$A67)),"")</f>
        <v/>
      </c>
      <c r="F67" s="49" t="str">
        <f t="array" aca="1" ref="F67" ca="1">IF(ROWS($A$11:$A67)&lt;=COUNTIF('SL bán theo ngày'!$A$9:$A$82,"?*"),INDEX('SL bán theo ngày'!I$9:I$82,ROWS($A$11:$A67)),"")</f>
        <v/>
      </c>
      <c r="G67" s="49" t="str">
        <f t="array" aca="1" ref="G67" ca="1">IF(ROWS($A$11:$A67)&lt;=COUNTIF('SL bán theo ngày'!$A$9:$A$82,"?*"),INDEX('SL bán theo ngày'!J$9:J$82,ROWS($A$11:$A67)),"")</f>
        <v/>
      </c>
      <c r="H67" s="49" t="str">
        <f t="array" aca="1" ref="H67" ca="1">IF(ROWS($A$11:$A67)&lt;=COUNTIF('SL bán theo ngày'!$A$9:$A$82,"?*"),INDEX('SL bán theo ngày'!K$9:K$82,ROWS($A$11:$A67)),"")</f>
        <v/>
      </c>
      <c r="I67" s="49" t="str">
        <f t="array" aca="1" ref="I67" ca="1">IF(ROWS($A$11:$A67)&lt;=COUNTIF('SL bán theo ngày'!$A$9:$A$82,"?*"),INDEX('SL bán theo ngày'!L$9:L$82,ROWS($A$11:$A67)),"")</f>
        <v/>
      </c>
      <c r="J67" s="49" t="str">
        <f t="array" aca="1" ref="J67" ca="1">IF(ROWS($A$11:$A67)&lt;=COUNTIF('SL bán theo ngày'!$A$9:$A$82,"?*"),INDEX('SL bán theo ngày'!M$9:M$82,ROWS($A$11:$A67)),"")</f>
        <v/>
      </c>
      <c r="K67" s="49" t="str">
        <f t="array" aca="1" ref="K67" ca="1">IF(ROWS($A$11:$A67)&lt;=COUNTIF('SL bán theo ngày'!$A$9:$A$82,"?*"),INDEX('SL bán theo ngày'!N$9:N$82,ROWS($A$11:$A67)),"")</f>
        <v/>
      </c>
      <c r="L67" s="49" t="str">
        <f t="array" aca="1" ref="L67" ca="1">IF(ROWS($A$11:$A67)&lt;=COUNTIF('SL bán theo ngày'!$A$9:$A$82,"?*"),INDEX('SL bán theo ngày'!O$9:O$82,ROWS($A$11:$A67)),"")</f>
        <v/>
      </c>
      <c r="M67" s="49" t="str">
        <f t="array" aca="1" ref="M67" ca="1">IF(ROWS($A$11:$A67)&lt;=COUNTIF('SL bán theo ngày'!$A$9:$A$82,"?*"),INDEX('SL bán theo ngày'!P$9:P$82,ROWS($A$11:$A67)),"")</f>
        <v/>
      </c>
      <c r="N67" s="49" t="str">
        <f t="array" aca="1" ref="N67" ca="1">IF(ROWS($A$11:$A67)&lt;=COUNTIF('SL bán theo ngày'!$A$9:$A$82,"?*"),INDEX('SL bán theo ngày'!Q$9:Q$82,ROWS($A$11:$A67)),"")</f>
        <v/>
      </c>
      <c r="O67" s="49" t="str">
        <f t="array" aca="1" ref="O67" ca="1">IF(ROWS($A$11:$A67)&lt;=COUNTIF('SL bán theo ngày'!$A$9:$A$82,"?*"),INDEX('SL bán theo ngày'!R$9:R$82,ROWS($A$11:$A67)),"")</f>
        <v/>
      </c>
      <c r="P67" s="49" t="str">
        <f t="array" aca="1" ref="P67" ca="1">IF(ROWS($A$11:$A67)&lt;=COUNTIF('SL bán theo ngày'!$A$9:$A$82,"?*"),INDEX('SL bán theo ngày'!S$9:S$82,ROWS($A$11:$A67)),"")</f>
        <v/>
      </c>
      <c r="Q67" s="49" t="str">
        <f t="array" aca="1" ref="Q67" ca="1">IF(ROWS($A$11:$A67)&lt;=COUNTIF('SL bán theo ngày'!$A$9:$A$82,"?*"),INDEX('SL bán theo ngày'!T$9:T$82,ROWS($A$11:$A67)),"")</f>
        <v/>
      </c>
      <c r="R67" s="49" t="str">
        <f t="array" aca="1" ref="R67" ca="1">IF(ROWS($A$11:$A67)&lt;=COUNTIF('SL bán theo ngày'!$A$9:$A$82,"?*"),INDEX('SL bán theo ngày'!U$9:U$82,ROWS($A$11:$A67)),"")</f>
        <v/>
      </c>
      <c r="S67" s="49" t="str">
        <f t="array" aca="1" ref="S67" ca="1">IF(ROWS($A$11:$A67)&lt;=COUNTIF('SL bán theo ngày'!$A$9:$A$82,"?*"),INDEX('SL bán theo ngày'!V$9:V$82,ROWS($A$11:$A67)),"")</f>
        <v/>
      </c>
      <c r="T67" s="49" t="str">
        <f t="array" aca="1" ref="T67" ca="1">IF(ROWS($A$11:$A67)&lt;=COUNTIF('SL bán theo ngày'!$A$9:$A$82,"?*"),INDEX('SL bán theo ngày'!W$9:W$82,ROWS($A$11:$A67)),"")</f>
        <v/>
      </c>
      <c r="U67" s="49" t="str">
        <f t="array" aca="1" ref="U67" ca="1">IF(ROWS($A$11:$A67)&lt;=COUNTIF('SL bán theo ngày'!$A$9:$A$82,"?*"),INDEX('SL bán theo ngày'!X$9:X$82,ROWS($A$11:$A67)),"")</f>
        <v/>
      </c>
      <c r="V67" s="49" t="str">
        <f t="array" aca="1" ref="V67" ca="1">IF(ROWS($A$11:$A67)&lt;=COUNTIF('SL bán theo ngày'!$A$9:$A$82,"?*"),INDEX('SL bán theo ngày'!Y$9:Y$82,ROWS($A$11:$A67)),"")</f>
        <v/>
      </c>
      <c r="W67" s="49" t="str">
        <f t="array" aca="1" ref="W67" ca="1">IF(ROWS($A$11:$A67)&lt;=COUNTIF('SL bán theo ngày'!$A$9:$A$82,"?*"),INDEX('SL bán theo ngày'!Z$9:Z$82,ROWS($A$11:$A67)),"")</f>
        <v/>
      </c>
      <c r="X67" s="49" t="str">
        <f t="array" aca="1" ref="X67" ca="1">IF(ROWS($A$11:$A67)&lt;=COUNTIF('SL bán theo ngày'!$A$9:$A$82,"?*"),INDEX('SL bán theo ngày'!AA$9:AA$82,ROWS($A$11:$A67)),"")</f>
        <v/>
      </c>
      <c r="Y67" s="49" t="str">
        <f t="array" aca="1" ref="Y67" ca="1">IF(ROWS($A$11:$A67)&lt;=COUNTIF('SL bán theo ngày'!$A$9:$A$82,"?*"),INDEX('SL bán theo ngày'!AB$9:AB$82,ROWS($A$11:$A67)),"")</f>
        <v/>
      </c>
      <c r="Z67" s="49" t="str">
        <f t="array" aca="1" ref="Z67" ca="1">IF(ROWS($A$11:$A67)&lt;=COUNTIF('SL bán theo ngày'!$A$9:$A$82,"?*"),INDEX('SL bán theo ngày'!AC$9:AC$82,ROWS($A$11:$A67)),"")</f>
        <v/>
      </c>
      <c r="AA67" s="49" t="str">
        <f t="array" aca="1" ref="AA67" ca="1">IF(ROWS($A$11:$A67)&lt;=COUNTIF('SL bán theo ngày'!$A$9:$A$82,"?*"),INDEX('SL bán theo ngày'!AD$9:AD$82,ROWS($A$11:$A67)),"")</f>
        <v/>
      </c>
      <c r="AB67" s="49" t="str">
        <f t="array" aca="1" ref="AB67" ca="1">IF(ROWS($A$11:$A67)&lt;=COUNTIF('SL bán theo ngày'!$A$9:$A$82,"?*"),INDEX('SL bán theo ngày'!AE$9:AE$82,ROWS($A$11:$A67)),"")</f>
        <v/>
      </c>
      <c r="AC67" s="49" t="str">
        <f t="array" aca="1" ref="AC67" ca="1">IF(ROWS($A$11:$A67)&lt;=COUNTIF('SL bán theo ngày'!$A$9:$A$82,"?*"),INDEX('SL bán theo ngày'!AF$9:AF$82,ROWS($A$11:$A67)),"")</f>
        <v/>
      </c>
      <c r="AD67" s="49" t="str">
        <f t="array" aca="1" ref="AD67" ca="1">IF(ROWS($A$11:$A67)&lt;=COUNTIF('SL bán theo ngày'!$A$9:$A$82,"?*"),INDEX('SL bán theo ngày'!AG$9:AG$82,ROWS($A$11:$A67)),"")</f>
        <v/>
      </c>
      <c r="AE67" s="49" t="str">
        <f t="array" aca="1" ref="AE67" ca="1">IF(ROWS($A$11:$A67)&lt;=COUNTIF('SL bán theo ngày'!$A$9:$A$82,"?*"),INDEX('SL bán theo ngày'!AH$9:AH$82,ROWS($A$11:$A67)),"")</f>
        <v/>
      </c>
      <c r="AF67" s="49" t="str">
        <f t="array" aca="1" ref="AF67" ca="1">IF(ROWS($A$11:$A67)&lt;=COUNTIF('SL bán theo ngày'!$A$9:$A$82,"?*"),INDEX('SL bán theo ngày'!AI$9:AI$82,ROWS($A$11:$A67)),"")</f>
        <v/>
      </c>
      <c r="AG67" s="49" t="str">
        <f t="array" aca="1" ref="AG67" ca="1">IF(ROWS($A$11:$A67)&lt;=COUNTIF('SL bán theo ngày'!$A$9:$A$82,"?*"),INDEX('SL bán theo ngày'!C$9:C$82,ROWS($A$11:$A67)),"")</f>
        <v/>
      </c>
      <c r="AH67" s="74" t="str">
        <f t="array" aca="1" ref="AH67" ca="1">IF(ROWS($A$11:$A67)&lt;=COUNTIF('SL bán theo ngày'!$A$9:$A$82,"?*"),INDEX('SL bán theo ngày'!D$9:D$82,ROWS($A$11:$A67)),"")</f>
        <v/>
      </c>
      <c r="AI67" s="49" t="str">
        <f t="array" aca="1" ref="AI67" ca="1">IF(ROWS($A$11:$A67)&lt;=COUNTIF('SL bán theo ngày'!$A$9:$A$82,"?*"),INDEX('SL bán theo ngày'!E$9:E$82,ROWS($A$11:$A67)),"")</f>
        <v/>
      </c>
      <c r="AJ67" s="49" t="str">
        <f t="array" aca="1" ref="AJ67" ca="1">IF(ROWS($A$11:$A67)&lt;=COUNTIF('SL bán theo ngày'!$A$9:$A$82,"?*"),INDEX('SL bán theo ngày'!AJ$9:AJ$82,ROWS($A$11:$A67)),"")</f>
        <v/>
      </c>
      <c r="AK67" s="49" t="str">
        <f t="array" aca="1" ref="AK67" ca="1">IF(ROWS($A$11:$A67)&lt;=COUNTIF('SL bán theo ngày'!$A$9:$A$82,"?*"),INDEX('SL bán theo ngày'!AK$9:AK$82,ROWS($A$11:$A67)),"")</f>
        <v/>
      </c>
    </row>
    <row r="68" spans="1:37" ht="15.75" customHeight="1" x14ac:dyDescent="0.25">
      <c r="A68" s="33" t="str">
        <f t="array" aca="1" ref="A68" ca="1">IF(ROWS($A$11:$A68)&lt;=COUNTIF('SL bán theo ngày'!$A$9:$A$82,"?*"),INDEX('SL bán theo ngày'!A$9:A$82,ROWS($A$11:$A68)),"")</f>
        <v/>
      </c>
      <c r="B68" s="37" t="str">
        <f t="array" aca="1" ref="B68" ca="1">IF(ROWS($A$11:$A68)&lt;=COUNTIF('SL bán theo ngày'!$A$9:$A$82,"?*"),INDEX('SL bán theo ngày'!B$9:B$82,ROWS($A$11:$A68)),"")</f>
        <v/>
      </c>
      <c r="C68" s="79" t="str">
        <f t="array" aca="1" ref="C68" ca="1">IF(ROWS($A$11:$A68)&lt;=COUNTIF('SL bán theo ngày'!$A$9:$A$82,"?*"),INDEX('SL bán theo ngày'!F$9:F$82,ROWS($A$11:$A68)),"")</f>
        <v/>
      </c>
      <c r="D68" s="49" t="str">
        <f t="array" aca="1" ref="D68" ca="1">IF(ROWS($A$11:$A68)&lt;=COUNTIF('SL bán theo ngày'!$A$9:$A$82,"?*"),INDEX('SL bán theo ngày'!G$9:G$82,ROWS($A$11:$A68)),"")</f>
        <v/>
      </c>
      <c r="E68" s="49" t="str">
        <f t="array" aca="1" ref="E68" ca="1">IF(ROWS($A$11:$A68)&lt;=COUNTIF('SL bán theo ngày'!$A$9:$A$82,"?*"),INDEX('SL bán theo ngày'!H$9:H$82,ROWS($A$11:$A68)),"")</f>
        <v/>
      </c>
      <c r="F68" s="49" t="str">
        <f t="array" aca="1" ref="F68" ca="1">IF(ROWS($A$11:$A68)&lt;=COUNTIF('SL bán theo ngày'!$A$9:$A$82,"?*"),INDEX('SL bán theo ngày'!I$9:I$82,ROWS($A$11:$A68)),"")</f>
        <v/>
      </c>
      <c r="G68" s="49" t="str">
        <f t="array" aca="1" ref="G68" ca="1">IF(ROWS($A$11:$A68)&lt;=COUNTIF('SL bán theo ngày'!$A$9:$A$82,"?*"),INDEX('SL bán theo ngày'!J$9:J$82,ROWS($A$11:$A68)),"")</f>
        <v/>
      </c>
      <c r="H68" s="49" t="str">
        <f t="array" aca="1" ref="H68" ca="1">IF(ROWS($A$11:$A68)&lt;=COUNTIF('SL bán theo ngày'!$A$9:$A$82,"?*"),INDEX('SL bán theo ngày'!K$9:K$82,ROWS($A$11:$A68)),"")</f>
        <v/>
      </c>
      <c r="I68" s="49" t="str">
        <f t="array" aca="1" ref="I68" ca="1">IF(ROWS($A$11:$A68)&lt;=COUNTIF('SL bán theo ngày'!$A$9:$A$82,"?*"),INDEX('SL bán theo ngày'!L$9:L$82,ROWS($A$11:$A68)),"")</f>
        <v/>
      </c>
      <c r="J68" s="49" t="str">
        <f t="array" aca="1" ref="J68" ca="1">IF(ROWS($A$11:$A68)&lt;=COUNTIF('SL bán theo ngày'!$A$9:$A$82,"?*"),INDEX('SL bán theo ngày'!M$9:M$82,ROWS($A$11:$A68)),"")</f>
        <v/>
      </c>
      <c r="K68" s="49" t="str">
        <f t="array" aca="1" ref="K68" ca="1">IF(ROWS($A$11:$A68)&lt;=COUNTIF('SL bán theo ngày'!$A$9:$A$82,"?*"),INDEX('SL bán theo ngày'!N$9:N$82,ROWS($A$11:$A68)),"")</f>
        <v/>
      </c>
      <c r="L68" s="49" t="str">
        <f t="array" aca="1" ref="L68" ca="1">IF(ROWS($A$11:$A68)&lt;=COUNTIF('SL bán theo ngày'!$A$9:$A$82,"?*"),INDEX('SL bán theo ngày'!O$9:O$82,ROWS($A$11:$A68)),"")</f>
        <v/>
      </c>
      <c r="M68" s="49" t="str">
        <f t="array" aca="1" ref="M68" ca="1">IF(ROWS($A$11:$A68)&lt;=COUNTIF('SL bán theo ngày'!$A$9:$A$82,"?*"),INDEX('SL bán theo ngày'!P$9:P$82,ROWS($A$11:$A68)),"")</f>
        <v/>
      </c>
      <c r="N68" s="49" t="str">
        <f t="array" aca="1" ref="N68" ca="1">IF(ROWS($A$11:$A68)&lt;=COUNTIF('SL bán theo ngày'!$A$9:$A$82,"?*"),INDEX('SL bán theo ngày'!Q$9:Q$82,ROWS($A$11:$A68)),"")</f>
        <v/>
      </c>
      <c r="O68" s="49" t="str">
        <f t="array" aca="1" ref="O68" ca="1">IF(ROWS($A$11:$A68)&lt;=COUNTIF('SL bán theo ngày'!$A$9:$A$82,"?*"),INDEX('SL bán theo ngày'!R$9:R$82,ROWS($A$11:$A68)),"")</f>
        <v/>
      </c>
      <c r="P68" s="49" t="str">
        <f t="array" aca="1" ref="P68" ca="1">IF(ROWS($A$11:$A68)&lt;=COUNTIF('SL bán theo ngày'!$A$9:$A$82,"?*"),INDEX('SL bán theo ngày'!S$9:S$82,ROWS($A$11:$A68)),"")</f>
        <v/>
      </c>
      <c r="Q68" s="49" t="str">
        <f t="array" aca="1" ref="Q68" ca="1">IF(ROWS($A$11:$A68)&lt;=COUNTIF('SL bán theo ngày'!$A$9:$A$82,"?*"),INDEX('SL bán theo ngày'!T$9:T$82,ROWS($A$11:$A68)),"")</f>
        <v/>
      </c>
      <c r="R68" s="49" t="str">
        <f t="array" aca="1" ref="R68" ca="1">IF(ROWS($A$11:$A68)&lt;=COUNTIF('SL bán theo ngày'!$A$9:$A$82,"?*"),INDEX('SL bán theo ngày'!U$9:U$82,ROWS($A$11:$A68)),"")</f>
        <v/>
      </c>
      <c r="S68" s="49" t="str">
        <f t="array" aca="1" ref="S68" ca="1">IF(ROWS($A$11:$A68)&lt;=COUNTIF('SL bán theo ngày'!$A$9:$A$82,"?*"),INDEX('SL bán theo ngày'!V$9:V$82,ROWS($A$11:$A68)),"")</f>
        <v/>
      </c>
      <c r="T68" s="49" t="str">
        <f t="array" aca="1" ref="T68" ca="1">IF(ROWS($A$11:$A68)&lt;=COUNTIF('SL bán theo ngày'!$A$9:$A$82,"?*"),INDEX('SL bán theo ngày'!W$9:W$82,ROWS($A$11:$A68)),"")</f>
        <v/>
      </c>
      <c r="U68" s="49" t="str">
        <f t="array" aca="1" ref="U68" ca="1">IF(ROWS($A$11:$A68)&lt;=COUNTIF('SL bán theo ngày'!$A$9:$A$82,"?*"),INDEX('SL bán theo ngày'!X$9:X$82,ROWS($A$11:$A68)),"")</f>
        <v/>
      </c>
      <c r="V68" s="49" t="str">
        <f t="array" aca="1" ref="V68" ca="1">IF(ROWS($A$11:$A68)&lt;=COUNTIF('SL bán theo ngày'!$A$9:$A$82,"?*"),INDEX('SL bán theo ngày'!Y$9:Y$82,ROWS($A$11:$A68)),"")</f>
        <v/>
      </c>
      <c r="W68" s="49" t="str">
        <f t="array" aca="1" ref="W68" ca="1">IF(ROWS($A$11:$A68)&lt;=COUNTIF('SL bán theo ngày'!$A$9:$A$82,"?*"),INDEX('SL bán theo ngày'!Z$9:Z$82,ROWS($A$11:$A68)),"")</f>
        <v/>
      </c>
      <c r="X68" s="49" t="str">
        <f t="array" aca="1" ref="X68" ca="1">IF(ROWS($A$11:$A68)&lt;=COUNTIF('SL bán theo ngày'!$A$9:$A$82,"?*"),INDEX('SL bán theo ngày'!AA$9:AA$82,ROWS($A$11:$A68)),"")</f>
        <v/>
      </c>
      <c r="Y68" s="49" t="str">
        <f t="array" aca="1" ref="Y68" ca="1">IF(ROWS($A$11:$A68)&lt;=COUNTIF('SL bán theo ngày'!$A$9:$A$82,"?*"),INDEX('SL bán theo ngày'!AB$9:AB$82,ROWS($A$11:$A68)),"")</f>
        <v/>
      </c>
      <c r="Z68" s="49" t="str">
        <f t="array" aca="1" ref="Z68" ca="1">IF(ROWS($A$11:$A68)&lt;=COUNTIF('SL bán theo ngày'!$A$9:$A$82,"?*"),INDEX('SL bán theo ngày'!AC$9:AC$82,ROWS($A$11:$A68)),"")</f>
        <v/>
      </c>
      <c r="AA68" s="49" t="str">
        <f t="array" aca="1" ref="AA68" ca="1">IF(ROWS($A$11:$A68)&lt;=COUNTIF('SL bán theo ngày'!$A$9:$A$82,"?*"),INDEX('SL bán theo ngày'!AD$9:AD$82,ROWS($A$11:$A68)),"")</f>
        <v/>
      </c>
      <c r="AB68" s="49" t="str">
        <f t="array" aca="1" ref="AB68" ca="1">IF(ROWS($A$11:$A68)&lt;=COUNTIF('SL bán theo ngày'!$A$9:$A$82,"?*"),INDEX('SL bán theo ngày'!AE$9:AE$82,ROWS($A$11:$A68)),"")</f>
        <v/>
      </c>
      <c r="AC68" s="49" t="str">
        <f t="array" aca="1" ref="AC68" ca="1">IF(ROWS($A$11:$A68)&lt;=COUNTIF('SL bán theo ngày'!$A$9:$A$82,"?*"),INDEX('SL bán theo ngày'!AF$9:AF$82,ROWS($A$11:$A68)),"")</f>
        <v/>
      </c>
      <c r="AD68" s="49" t="str">
        <f t="array" aca="1" ref="AD68" ca="1">IF(ROWS($A$11:$A68)&lt;=COUNTIF('SL bán theo ngày'!$A$9:$A$82,"?*"),INDEX('SL bán theo ngày'!AG$9:AG$82,ROWS($A$11:$A68)),"")</f>
        <v/>
      </c>
      <c r="AE68" s="49" t="str">
        <f t="array" aca="1" ref="AE68" ca="1">IF(ROWS($A$11:$A68)&lt;=COUNTIF('SL bán theo ngày'!$A$9:$A$82,"?*"),INDEX('SL bán theo ngày'!AH$9:AH$82,ROWS($A$11:$A68)),"")</f>
        <v/>
      </c>
      <c r="AF68" s="49" t="str">
        <f t="array" aca="1" ref="AF68" ca="1">IF(ROWS($A$11:$A68)&lt;=COUNTIF('SL bán theo ngày'!$A$9:$A$82,"?*"),INDEX('SL bán theo ngày'!AI$9:AI$82,ROWS($A$11:$A68)),"")</f>
        <v/>
      </c>
      <c r="AG68" s="49" t="str">
        <f t="array" aca="1" ref="AG68" ca="1">IF(ROWS($A$11:$A68)&lt;=COUNTIF('SL bán theo ngày'!$A$9:$A$82,"?*"),INDEX('SL bán theo ngày'!C$9:C$82,ROWS($A$11:$A68)),"")</f>
        <v/>
      </c>
      <c r="AH68" s="74" t="str">
        <f t="array" aca="1" ref="AH68" ca="1">IF(ROWS($A$11:$A68)&lt;=COUNTIF('SL bán theo ngày'!$A$9:$A$82,"?*"),INDEX('SL bán theo ngày'!D$9:D$82,ROWS($A$11:$A68)),"")</f>
        <v/>
      </c>
      <c r="AI68" s="49" t="str">
        <f t="array" aca="1" ref="AI68" ca="1">IF(ROWS($A$11:$A68)&lt;=COUNTIF('SL bán theo ngày'!$A$9:$A$82,"?*"),INDEX('SL bán theo ngày'!E$9:E$82,ROWS($A$11:$A68)),"")</f>
        <v/>
      </c>
      <c r="AJ68" s="49" t="str">
        <f t="array" aca="1" ref="AJ68" ca="1">IF(ROWS($A$11:$A68)&lt;=COUNTIF('SL bán theo ngày'!$A$9:$A$82,"?*"),INDEX('SL bán theo ngày'!AJ$9:AJ$82,ROWS($A$11:$A68)),"")</f>
        <v/>
      </c>
      <c r="AK68" s="49" t="str">
        <f t="array" aca="1" ref="AK68" ca="1">IF(ROWS($A$11:$A68)&lt;=COUNTIF('SL bán theo ngày'!$A$9:$A$82,"?*"),INDEX('SL bán theo ngày'!AK$9:AK$82,ROWS($A$11:$A68)),"")</f>
        <v/>
      </c>
    </row>
    <row r="69" spans="1:37" ht="15.75" customHeight="1" x14ac:dyDescent="0.25">
      <c r="A69" s="33" t="str">
        <f t="array" aca="1" ref="A69" ca="1">IF(ROWS($A$11:$A69)&lt;=COUNTIF('SL bán theo ngày'!$A$9:$A$82,"?*"),INDEX('SL bán theo ngày'!A$9:A$82,ROWS($A$11:$A69)),"")</f>
        <v/>
      </c>
      <c r="B69" s="37" t="str">
        <f t="array" aca="1" ref="B69" ca="1">IF(ROWS($A$11:$A69)&lt;=COUNTIF('SL bán theo ngày'!$A$9:$A$82,"?*"),INDEX('SL bán theo ngày'!B$9:B$82,ROWS($A$11:$A69)),"")</f>
        <v/>
      </c>
      <c r="C69" s="79" t="str">
        <f t="array" aca="1" ref="C69" ca="1">IF(ROWS($A$11:$A69)&lt;=COUNTIF('SL bán theo ngày'!$A$9:$A$82,"?*"),INDEX('SL bán theo ngày'!F$9:F$82,ROWS($A$11:$A69)),"")</f>
        <v/>
      </c>
      <c r="D69" s="49" t="str">
        <f t="array" aca="1" ref="D69" ca="1">IF(ROWS($A$11:$A69)&lt;=COUNTIF('SL bán theo ngày'!$A$9:$A$82,"?*"),INDEX('SL bán theo ngày'!G$9:G$82,ROWS($A$11:$A69)),"")</f>
        <v/>
      </c>
      <c r="E69" s="49" t="str">
        <f t="array" aca="1" ref="E69" ca="1">IF(ROWS($A$11:$A69)&lt;=COUNTIF('SL bán theo ngày'!$A$9:$A$82,"?*"),INDEX('SL bán theo ngày'!H$9:H$82,ROWS($A$11:$A69)),"")</f>
        <v/>
      </c>
      <c r="F69" s="49" t="str">
        <f t="array" aca="1" ref="F69" ca="1">IF(ROWS($A$11:$A69)&lt;=COUNTIF('SL bán theo ngày'!$A$9:$A$82,"?*"),INDEX('SL bán theo ngày'!I$9:I$82,ROWS($A$11:$A69)),"")</f>
        <v/>
      </c>
      <c r="G69" s="49" t="str">
        <f t="array" aca="1" ref="G69" ca="1">IF(ROWS($A$11:$A69)&lt;=COUNTIF('SL bán theo ngày'!$A$9:$A$82,"?*"),INDEX('SL bán theo ngày'!J$9:J$82,ROWS($A$11:$A69)),"")</f>
        <v/>
      </c>
      <c r="H69" s="49" t="str">
        <f t="array" aca="1" ref="H69" ca="1">IF(ROWS($A$11:$A69)&lt;=COUNTIF('SL bán theo ngày'!$A$9:$A$82,"?*"),INDEX('SL bán theo ngày'!K$9:K$82,ROWS($A$11:$A69)),"")</f>
        <v/>
      </c>
      <c r="I69" s="49" t="str">
        <f t="array" aca="1" ref="I69" ca="1">IF(ROWS($A$11:$A69)&lt;=COUNTIF('SL bán theo ngày'!$A$9:$A$82,"?*"),INDEX('SL bán theo ngày'!L$9:L$82,ROWS($A$11:$A69)),"")</f>
        <v/>
      </c>
      <c r="J69" s="49" t="str">
        <f t="array" aca="1" ref="J69" ca="1">IF(ROWS($A$11:$A69)&lt;=COUNTIF('SL bán theo ngày'!$A$9:$A$82,"?*"),INDEX('SL bán theo ngày'!M$9:M$82,ROWS($A$11:$A69)),"")</f>
        <v/>
      </c>
      <c r="K69" s="49" t="str">
        <f t="array" aca="1" ref="K69" ca="1">IF(ROWS($A$11:$A69)&lt;=COUNTIF('SL bán theo ngày'!$A$9:$A$82,"?*"),INDEX('SL bán theo ngày'!N$9:N$82,ROWS($A$11:$A69)),"")</f>
        <v/>
      </c>
      <c r="L69" s="49" t="str">
        <f t="array" aca="1" ref="L69" ca="1">IF(ROWS($A$11:$A69)&lt;=COUNTIF('SL bán theo ngày'!$A$9:$A$82,"?*"),INDEX('SL bán theo ngày'!O$9:O$82,ROWS($A$11:$A69)),"")</f>
        <v/>
      </c>
      <c r="M69" s="49" t="str">
        <f t="array" aca="1" ref="M69" ca="1">IF(ROWS($A$11:$A69)&lt;=COUNTIF('SL bán theo ngày'!$A$9:$A$82,"?*"),INDEX('SL bán theo ngày'!P$9:P$82,ROWS($A$11:$A69)),"")</f>
        <v/>
      </c>
      <c r="N69" s="49" t="str">
        <f t="array" aca="1" ref="N69" ca="1">IF(ROWS($A$11:$A69)&lt;=COUNTIF('SL bán theo ngày'!$A$9:$A$82,"?*"),INDEX('SL bán theo ngày'!Q$9:Q$82,ROWS($A$11:$A69)),"")</f>
        <v/>
      </c>
      <c r="O69" s="49" t="str">
        <f t="array" aca="1" ref="O69" ca="1">IF(ROWS($A$11:$A69)&lt;=COUNTIF('SL bán theo ngày'!$A$9:$A$82,"?*"),INDEX('SL bán theo ngày'!R$9:R$82,ROWS($A$11:$A69)),"")</f>
        <v/>
      </c>
      <c r="P69" s="49" t="str">
        <f t="array" aca="1" ref="P69" ca="1">IF(ROWS($A$11:$A69)&lt;=COUNTIF('SL bán theo ngày'!$A$9:$A$82,"?*"),INDEX('SL bán theo ngày'!S$9:S$82,ROWS($A$11:$A69)),"")</f>
        <v/>
      </c>
      <c r="Q69" s="49" t="str">
        <f t="array" aca="1" ref="Q69" ca="1">IF(ROWS($A$11:$A69)&lt;=COUNTIF('SL bán theo ngày'!$A$9:$A$82,"?*"),INDEX('SL bán theo ngày'!T$9:T$82,ROWS($A$11:$A69)),"")</f>
        <v/>
      </c>
      <c r="R69" s="49" t="str">
        <f t="array" aca="1" ref="R69" ca="1">IF(ROWS($A$11:$A69)&lt;=COUNTIF('SL bán theo ngày'!$A$9:$A$82,"?*"),INDEX('SL bán theo ngày'!U$9:U$82,ROWS($A$11:$A69)),"")</f>
        <v/>
      </c>
      <c r="S69" s="49" t="str">
        <f t="array" aca="1" ref="S69" ca="1">IF(ROWS($A$11:$A69)&lt;=COUNTIF('SL bán theo ngày'!$A$9:$A$82,"?*"),INDEX('SL bán theo ngày'!V$9:V$82,ROWS($A$11:$A69)),"")</f>
        <v/>
      </c>
      <c r="T69" s="49" t="str">
        <f t="array" aca="1" ref="T69" ca="1">IF(ROWS($A$11:$A69)&lt;=COUNTIF('SL bán theo ngày'!$A$9:$A$82,"?*"),INDEX('SL bán theo ngày'!W$9:W$82,ROWS($A$11:$A69)),"")</f>
        <v/>
      </c>
      <c r="U69" s="49" t="str">
        <f t="array" aca="1" ref="U69" ca="1">IF(ROWS($A$11:$A69)&lt;=COUNTIF('SL bán theo ngày'!$A$9:$A$82,"?*"),INDEX('SL bán theo ngày'!X$9:X$82,ROWS($A$11:$A69)),"")</f>
        <v/>
      </c>
      <c r="V69" s="49" t="str">
        <f t="array" aca="1" ref="V69" ca="1">IF(ROWS($A$11:$A69)&lt;=COUNTIF('SL bán theo ngày'!$A$9:$A$82,"?*"),INDEX('SL bán theo ngày'!Y$9:Y$82,ROWS($A$11:$A69)),"")</f>
        <v/>
      </c>
      <c r="W69" s="49" t="str">
        <f t="array" aca="1" ref="W69" ca="1">IF(ROWS($A$11:$A69)&lt;=COUNTIF('SL bán theo ngày'!$A$9:$A$82,"?*"),INDEX('SL bán theo ngày'!Z$9:Z$82,ROWS($A$11:$A69)),"")</f>
        <v/>
      </c>
      <c r="X69" s="49" t="str">
        <f t="array" aca="1" ref="X69" ca="1">IF(ROWS($A$11:$A69)&lt;=COUNTIF('SL bán theo ngày'!$A$9:$A$82,"?*"),INDEX('SL bán theo ngày'!AA$9:AA$82,ROWS($A$11:$A69)),"")</f>
        <v/>
      </c>
      <c r="Y69" s="49" t="str">
        <f t="array" aca="1" ref="Y69" ca="1">IF(ROWS($A$11:$A69)&lt;=COUNTIF('SL bán theo ngày'!$A$9:$A$82,"?*"),INDEX('SL bán theo ngày'!AB$9:AB$82,ROWS($A$11:$A69)),"")</f>
        <v/>
      </c>
      <c r="Z69" s="49" t="str">
        <f t="array" aca="1" ref="Z69" ca="1">IF(ROWS($A$11:$A69)&lt;=COUNTIF('SL bán theo ngày'!$A$9:$A$82,"?*"),INDEX('SL bán theo ngày'!AC$9:AC$82,ROWS($A$11:$A69)),"")</f>
        <v/>
      </c>
      <c r="AA69" s="49" t="str">
        <f t="array" aca="1" ref="AA69" ca="1">IF(ROWS($A$11:$A69)&lt;=COUNTIF('SL bán theo ngày'!$A$9:$A$82,"?*"),INDEX('SL bán theo ngày'!AD$9:AD$82,ROWS($A$11:$A69)),"")</f>
        <v/>
      </c>
      <c r="AB69" s="49" t="str">
        <f t="array" aca="1" ref="AB69" ca="1">IF(ROWS($A$11:$A69)&lt;=COUNTIF('SL bán theo ngày'!$A$9:$A$82,"?*"),INDEX('SL bán theo ngày'!AE$9:AE$82,ROWS($A$11:$A69)),"")</f>
        <v/>
      </c>
      <c r="AC69" s="49" t="str">
        <f t="array" aca="1" ref="AC69" ca="1">IF(ROWS($A$11:$A69)&lt;=COUNTIF('SL bán theo ngày'!$A$9:$A$82,"?*"),INDEX('SL bán theo ngày'!AF$9:AF$82,ROWS($A$11:$A69)),"")</f>
        <v/>
      </c>
      <c r="AD69" s="49" t="str">
        <f t="array" aca="1" ref="AD69" ca="1">IF(ROWS($A$11:$A69)&lt;=COUNTIF('SL bán theo ngày'!$A$9:$A$82,"?*"),INDEX('SL bán theo ngày'!AG$9:AG$82,ROWS($A$11:$A69)),"")</f>
        <v/>
      </c>
      <c r="AE69" s="49" t="str">
        <f t="array" aca="1" ref="AE69" ca="1">IF(ROWS($A$11:$A69)&lt;=COUNTIF('SL bán theo ngày'!$A$9:$A$82,"?*"),INDEX('SL bán theo ngày'!AH$9:AH$82,ROWS($A$11:$A69)),"")</f>
        <v/>
      </c>
      <c r="AF69" s="49" t="str">
        <f t="array" aca="1" ref="AF69" ca="1">IF(ROWS($A$11:$A69)&lt;=COUNTIF('SL bán theo ngày'!$A$9:$A$82,"?*"),INDEX('SL bán theo ngày'!AI$9:AI$82,ROWS($A$11:$A69)),"")</f>
        <v/>
      </c>
      <c r="AG69" s="49" t="str">
        <f t="array" aca="1" ref="AG69" ca="1">IF(ROWS($A$11:$A69)&lt;=COUNTIF('SL bán theo ngày'!$A$9:$A$82,"?*"),INDEX('SL bán theo ngày'!C$9:C$82,ROWS($A$11:$A69)),"")</f>
        <v/>
      </c>
      <c r="AH69" s="74" t="str">
        <f t="array" aca="1" ref="AH69" ca="1">IF(ROWS($A$11:$A69)&lt;=COUNTIF('SL bán theo ngày'!$A$9:$A$82,"?*"),INDEX('SL bán theo ngày'!D$9:D$82,ROWS($A$11:$A69)),"")</f>
        <v/>
      </c>
      <c r="AI69" s="49" t="str">
        <f t="array" aca="1" ref="AI69" ca="1">IF(ROWS($A$11:$A69)&lt;=COUNTIF('SL bán theo ngày'!$A$9:$A$82,"?*"),INDEX('SL bán theo ngày'!E$9:E$82,ROWS($A$11:$A69)),"")</f>
        <v/>
      </c>
      <c r="AJ69" s="49" t="str">
        <f t="array" aca="1" ref="AJ69" ca="1">IF(ROWS($A$11:$A69)&lt;=COUNTIF('SL bán theo ngày'!$A$9:$A$82,"?*"),INDEX('SL bán theo ngày'!AJ$9:AJ$82,ROWS($A$11:$A69)),"")</f>
        <v/>
      </c>
      <c r="AK69" s="49" t="str">
        <f t="array" aca="1" ref="AK69" ca="1">IF(ROWS($A$11:$A69)&lt;=COUNTIF('SL bán theo ngày'!$A$9:$A$82,"?*"),INDEX('SL bán theo ngày'!AK$9:AK$82,ROWS($A$11:$A69)),"")</f>
        <v/>
      </c>
    </row>
    <row r="70" spans="1:37" ht="15.75" customHeight="1" x14ac:dyDescent="0.25">
      <c r="A70" s="33" t="str">
        <f t="array" aca="1" ref="A70" ca="1">IF(ROWS($A$11:$A70)&lt;=COUNTIF('SL bán theo ngày'!$A$9:$A$82,"?*"),INDEX('SL bán theo ngày'!A$9:A$82,ROWS($A$11:$A70)),"")</f>
        <v/>
      </c>
      <c r="B70" s="37" t="str">
        <f t="array" aca="1" ref="B70" ca="1">IF(ROWS($A$11:$A70)&lt;=COUNTIF('SL bán theo ngày'!$A$9:$A$82,"?*"),INDEX('SL bán theo ngày'!B$9:B$82,ROWS($A$11:$A70)),"")</f>
        <v/>
      </c>
      <c r="C70" s="79" t="str">
        <f t="array" aca="1" ref="C70" ca="1">IF(ROWS($A$11:$A70)&lt;=COUNTIF('SL bán theo ngày'!$A$9:$A$82,"?*"),INDEX('SL bán theo ngày'!F$9:F$82,ROWS($A$11:$A70)),"")</f>
        <v/>
      </c>
      <c r="D70" s="49" t="str">
        <f t="array" aca="1" ref="D70" ca="1">IF(ROWS($A$11:$A70)&lt;=COUNTIF('SL bán theo ngày'!$A$9:$A$82,"?*"),INDEX('SL bán theo ngày'!G$9:G$82,ROWS($A$11:$A70)),"")</f>
        <v/>
      </c>
      <c r="E70" s="49" t="str">
        <f t="array" aca="1" ref="E70" ca="1">IF(ROWS($A$11:$A70)&lt;=COUNTIF('SL bán theo ngày'!$A$9:$A$82,"?*"),INDEX('SL bán theo ngày'!H$9:H$82,ROWS($A$11:$A70)),"")</f>
        <v/>
      </c>
      <c r="F70" s="49" t="str">
        <f t="array" aca="1" ref="F70" ca="1">IF(ROWS($A$11:$A70)&lt;=COUNTIF('SL bán theo ngày'!$A$9:$A$82,"?*"),INDEX('SL bán theo ngày'!I$9:I$82,ROWS($A$11:$A70)),"")</f>
        <v/>
      </c>
      <c r="G70" s="49" t="str">
        <f t="array" aca="1" ref="G70" ca="1">IF(ROWS($A$11:$A70)&lt;=COUNTIF('SL bán theo ngày'!$A$9:$A$82,"?*"),INDEX('SL bán theo ngày'!J$9:J$82,ROWS($A$11:$A70)),"")</f>
        <v/>
      </c>
      <c r="H70" s="49" t="str">
        <f t="array" aca="1" ref="H70" ca="1">IF(ROWS($A$11:$A70)&lt;=COUNTIF('SL bán theo ngày'!$A$9:$A$82,"?*"),INDEX('SL bán theo ngày'!K$9:K$82,ROWS($A$11:$A70)),"")</f>
        <v/>
      </c>
      <c r="I70" s="49" t="str">
        <f t="array" aca="1" ref="I70" ca="1">IF(ROWS($A$11:$A70)&lt;=COUNTIF('SL bán theo ngày'!$A$9:$A$82,"?*"),INDEX('SL bán theo ngày'!L$9:L$82,ROWS($A$11:$A70)),"")</f>
        <v/>
      </c>
      <c r="J70" s="49" t="str">
        <f t="array" aca="1" ref="J70" ca="1">IF(ROWS($A$11:$A70)&lt;=COUNTIF('SL bán theo ngày'!$A$9:$A$82,"?*"),INDEX('SL bán theo ngày'!M$9:M$82,ROWS($A$11:$A70)),"")</f>
        <v/>
      </c>
      <c r="K70" s="49" t="str">
        <f t="array" aca="1" ref="K70" ca="1">IF(ROWS($A$11:$A70)&lt;=COUNTIF('SL bán theo ngày'!$A$9:$A$82,"?*"),INDEX('SL bán theo ngày'!N$9:N$82,ROWS($A$11:$A70)),"")</f>
        <v/>
      </c>
      <c r="L70" s="49" t="str">
        <f t="array" aca="1" ref="L70" ca="1">IF(ROWS($A$11:$A70)&lt;=COUNTIF('SL bán theo ngày'!$A$9:$A$82,"?*"),INDEX('SL bán theo ngày'!O$9:O$82,ROWS($A$11:$A70)),"")</f>
        <v/>
      </c>
      <c r="M70" s="49" t="str">
        <f t="array" aca="1" ref="M70" ca="1">IF(ROWS($A$11:$A70)&lt;=COUNTIF('SL bán theo ngày'!$A$9:$A$82,"?*"),INDEX('SL bán theo ngày'!P$9:P$82,ROWS($A$11:$A70)),"")</f>
        <v/>
      </c>
      <c r="N70" s="49" t="str">
        <f t="array" aca="1" ref="N70" ca="1">IF(ROWS($A$11:$A70)&lt;=COUNTIF('SL bán theo ngày'!$A$9:$A$82,"?*"),INDEX('SL bán theo ngày'!Q$9:Q$82,ROWS($A$11:$A70)),"")</f>
        <v/>
      </c>
      <c r="O70" s="49" t="str">
        <f t="array" aca="1" ref="O70" ca="1">IF(ROWS($A$11:$A70)&lt;=COUNTIF('SL bán theo ngày'!$A$9:$A$82,"?*"),INDEX('SL bán theo ngày'!R$9:R$82,ROWS($A$11:$A70)),"")</f>
        <v/>
      </c>
      <c r="P70" s="49" t="str">
        <f t="array" aca="1" ref="P70" ca="1">IF(ROWS($A$11:$A70)&lt;=COUNTIF('SL bán theo ngày'!$A$9:$A$82,"?*"),INDEX('SL bán theo ngày'!S$9:S$82,ROWS($A$11:$A70)),"")</f>
        <v/>
      </c>
      <c r="Q70" s="49" t="str">
        <f t="array" aca="1" ref="Q70" ca="1">IF(ROWS($A$11:$A70)&lt;=COUNTIF('SL bán theo ngày'!$A$9:$A$82,"?*"),INDEX('SL bán theo ngày'!T$9:T$82,ROWS($A$11:$A70)),"")</f>
        <v/>
      </c>
      <c r="R70" s="49" t="str">
        <f t="array" aca="1" ref="R70" ca="1">IF(ROWS($A$11:$A70)&lt;=COUNTIF('SL bán theo ngày'!$A$9:$A$82,"?*"),INDEX('SL bán theo ngày'!U$9:U$82,ROWS($A$11:$A70)),"")</f>
        <v/>
      </c>
      <c r="S70" s="49" t="str">
        <f t="array" aca="1" ref="S70" ca="1">IF(ROWS($A$11:$A70)&lt;=COUNTIF('SL bán theo ngày'!$A$9:$A$82,"?*"),INDEX('SL bán theo ngày'!V$9:V$82,ROWS($A$11:$A70)),"")</f>
        <v/>
      </c>
      <c r="T70" s="49" t="str">
        <f t="array" aca="1" ref="T70" ca="1">IF(ROWS($A$11:$A70)&lt;=COUNTIF('SL bán theo ngày'!$A$9:$A$82,"?*"),INDEX('SL bán theo ngày'!W$9:W$82,ROWS($A$11:$A70)),"")</f>
        <v/>
      </c>
      <c r="U70" s="49" t="str">
        <f t="array" aca="1" ref="U70" ca="1">IF(ROWS($A$11:$A70)&lt;=COUNTIF('SL bán theo ngày'!$A$9:$A$82,"?*"),INDEX('SL bán theo ngày'!X$9:X$82,ROWS($A$11:$A70)),"")</f>
        <v/>
      </c>
      <c r="V70" s="49" t="str">
        <f t="array" aca="1" ref="V70" ca="1">IF(ROWS($A$11:$A70)&lt;=COUNTIF('SL bán theo ngày'!$A$9:$A$82,"?*"),INDEX('SL bán theo ngày'!Y$9:Y$82,ROWS($A$11:$A70)),"")</f>
        <v/>
      </c>
      <c r="W70" s="49" t="str">
        <f t="array" aca="1" ref="W70" ca="1">IF(ROWS($A$11:$A70)&lt;=COUNTIF('SL bán theo ngày'!$A$9:$A$82,"?*"),INDEX('SL bán theo ngày'!Z$9:Z$82,ROWS($A$11:$A70)),"")</f>
        <v/>
      </c>
      <c r="X70" s="49" t="str">
        <f t="array" aca="1" ref="X70" ca="1">IF(ROWS($A$11:$A70)&lt;=COUNTIF('SL bán theo ngày'!$A$9:$A$82,"?*"),INDEX('SL bán theo ngày'!AA$9:AA$82,ROWS($A$11:$A70)),"")</f>
        <v/>
      </c>
      <c r="Y70" s="49" t="str">
        <f t="array" aca="1" ref="Y70" ca="1">IF(ROWS($A$11:$A70)&lt;=COUNTIF('SL bán theo ngày'!$A$9:$A$82,"?*"),INDEX('SL bán theo ngày'!AB$9:AB$82,ROWS($A$11:$A70)),"")</f>
        <v/>
      </c>
      <c r="Z70" s="49" t="str">
        <f t="array" aca="1" ref="Z70" ca="1">IF(ROWS($A$11:$A70)&lt;=COUNTIF('SL bán theo ngày'!$A$9:$A$82,"?*"),INDEX('SL bán theo ngày'!AC$9:AC$82,ROWS($A$11:$A70)),"")</f>
        <v/>
      </c>
      <c r="AA70" s="49" t="str">
        <f t="array" aca="1" ref="AA70" ca="1">IF(ROWS($A$11:$A70)&lt;=COUNTIF('SL bán theo ngày'!$A$9:$A$82,"?*"),INDEX('SL bán theo ngày'!AD$9:AD$82,ROWS($A$11:$A70)),"")</f>
        <v/>
      </c>
      <c r="AB70" s="49" t="str">
        <f t="array" aca="1" ref="AB70" ca="1">IF(ROWS($A$11:$A70)&lt;=COUNTIF('SL bán theo ngày'!$A$9:$A$82,"?*"),INDEX('SL bán theo ngày'!AE$9:AE$82,ROWS($A$11:$A70)),"")</f>
        <v/>
      </c>
      <c r="AC70" s="49" t="str">
        <f t="array" aca="1" ref="AC70" ca="1">IF(ROWS($A$11:$A70)&lt;=COUNTIF('SL bán theo ngày'!$A$9:$A$82,"?*"),INDEX('SL bán theo ngày'!AF$9:AF$82,ROWS($A$11:$A70)),"")</f>
        <v/>
      </c>
      <c r="AD70" s="49" t="str">
        <f t="array" aca="1" ref="AD70" ca="1">IF(ROWS($A$11:$A70)&lt;=COUNTIF('SL bán theo ngày'!$A$9:$A$82,"?*"),INDEX('SL bán theo ngày'!AG$9:AG$82,ROWS($A$11:$A70)),"")</f>
        <v/>
      </c>
      <c r="AE70" s="49" t="str">
        <f t="array" aca="1" ref="AE70" ca="1">IF(ROWS($A$11:$A70)&lt;=COUNTIF('SL bán theo ngày'!$A$9:$A$82,"?*"),INDEX('SL bán theo ngày'!AH$9:AH$82,ROWS($A$11:$A70)),"")</f>
        <v/>
      </c>
      <c r="AF70" s="49" t="str">
        <f t="array" aca="1" ref="AF70" ca="1">IF(ROWS($A$11:$A70)&lt;=COUNTIF('SL bán theo ngày'!$A$9:$A$82,"?*"),INDEX('SL bán theo ngày'!AI$9:AI$82,ROWS($A$11:$A70)),"")</f>
        <v/>
      </c>
      <c r="AG70" s="49" t="str">
        <f t="array" aca="1" ref="AG70" ca="1">IF(ROWS($A$11:$A70)&lt;=COUNTIF('SL bán theo ngày'!$A$9:$A$82,"?*"),INDEX('SL bán theo ngày'!C$9:C$82,ROWS($A$11:$A70)),"")</f>
        <v/>
      </c>
      <c r="AH70" s="74" t="str">
        <f t="array" aca="1" ref="AH70" ca="1">IF(ROWS($A$11:$A70)&lt;=COUNTIF('SL bán theo ngày'!$A$9:$A$82,"?*"),INDEX('SL bán theo ngày'!D$9:D$82,ROWS($A$11:$A70)),"")</f>
        <v/>
      </c>
      <c r="AI70" s="49" t="str">
        <f t="array" aca="1" ref="AI70" ca="1">IF(ROWS($A$11:$A70)&lt;=COUNTIF('SL bán theo ngày'!$A$9:$A$82,"?*"),INDEX('SL bán theo ngày'!E$9:E$82,ROWS($A$11:$A70)),"")</f>
        <v/>
      </c>
      <c r="AJ70" s="49" t="str">
        <f t="array" aca="1" ref="AJ70" ca="1">IF(ROWS($A$11:$A70)&lt;=COUNTIF('SL bán theo ngày'!$A$9:$A$82,"?*"),INDEX('SL bán theo ngày'!AJ$9:AJ$82,ROWS($A$11:$A70)),"")</f>
        <v/>
      </c>
      <c r="AK70" s="49" t="str">
        <f t="array" aca="1" ref="AK70" ca="1">IF(ROWS($A$11:$A70)&lt;=COUNTIF('SL bán theo ngày'!$A$9:$A$82,"?*"),INDEX('SL bán theo ngày'!AK$9:AK$82,ROWS($A$11:$A70)),"")</f>
        <v/>
      </c>
    </row>
    <row r="71" spans="1:37" ht="15.75" customHeight="1" x14ac:dyDescent="0.25">
      <c r="A71" s="33" t="str">
        <f t="array" aca="1" ref="A71" ca="1">IF(ROWS($A$11:$A71)&lt;=COUNTIF('SL bán theo ngày'!$A$9:$A$82,"?*"),INDEX('SL bán theo ngày'!A$9:A$82,ROWS($A$11:$A71)),"")</f>
        <v/>
      </c>
      <c r="B71" s="37" t="str">
        <f t="array" aca="1" ref="B71" ca="1">IF(ROWS($A$11:$A71)&lt;=COUNTIF('SL bán theo ngày'!$A$9:$A$82,"?*"),INDEX('SL bán theo ngày'!B$9:B$82,ROWS($A$11:$A71)),"")</f>
        <v/>
      </c>
      <c r="C71" s="79" t="str">
        <f t="array" aca="1" ref="C71" ca="1">IF(ROWS($A$11:$A71)&lt;=COUNTIF('SL bán theo ngày'!$A$9:$A$82,"?*"),INDEX('SL bán theo ngày'!F$9:F$82,ROWS($A$11:$A71)),"")</f>
        <v/>
      </c>
      <c r="D71" s="49" t="str">
        <f t="array" aca="1" ref="D71" ca="1">IF(ROWS($A$11:$A71)&lt;=COUNTIF('SL bán theo ngày'!$A$9:$A$82,"?*"),INDEX('SL bán theo ngày'!G$9:G$82,ROWS($A$11:$A71)),"")</f>
        <v/>
      </c>
      <c r="E71" s="49" t="str">
        <f t="array" aca="1" ref="E71" ca="1">IF(ROWS($A$11:$A71)&lt;=COUNTIF('SL bán theo ngày'!$A$9:$A$82,"?*"),INDEX('SL bán theo ngày'!H$9:H$82,ROWS($A$11:$A71)),"")</f>
        <v/>
      </c>
      <c r="F71" s="49" t="str">
        <f t="array" aca="1" ref="F71" ca="1">IF(ROWS($A$11:$A71)&lt;=COUNTIF('SL bán theo ngày'!$A$9:$A$82,"?*"),INDEX('SL bán theo ngày'!I$9:I$82,ROWS($A$11:$A71)),"")</f>
        <v/>
      </c>
      <c r="G71" s="49" t="str">
        <f t="array" aca="1" ref="G71" ca="1">IF(ROWS($A$11:$A71)&lt;=COUNTIF('SL bán theo ngày'!$A$9:$A$82,"?*"),INDEX('SL bán theo ngày'!J$9:J$82,ROWS($A$11:$A71)),"")</f>
        <v/>
      </c>
      <c r="H71" s="49" t="str">
        <f t="array" aca="1" ref="H71" ca="1">IF(ROWS($A$11:$A71)&lt;=COUNTIF('SL bán theo ngày'!$A$9:$A$82,"?*"),INDEX('SL bán theo ngày'!K$9:K$82,ROWS($A$11:$A71)),"")</f>
        <v/>
      </c>
      <c r="I71" s="49" t="str">
        <f t="array" aca="1" ref="I71" ca="1">IF(ROWS($A$11:$A71)&lt;=COUNTIF('SL bán theo ngày'!$A$9:$A$82,"?*"),INDEX('SL bán theo ngày'!L$9:L$82,ROWS($A$11:$A71)),"")</f>
        <v/>
      </c>
      <c r="J71" s="49" t="str">
        <f t="array" aca="1" ref="J71" ca="1">IF(ROWS($A$11:$A71)&lt;=COUNTIF('SL bán theo ngày'!$A$9:$A$82,"?*"),INDEX('SL bán theo ngày'!M$9:M$82,ROWS($A$11:$A71)),"")</f>
        <v/>
      </c>
      <c r="K71" s="49" t="str">
        <f t="array" aca="1" ref="K71" ca="1">IF(ROWS($A$11:$A71)&lt;=COUNTIF('SL bán theo ngày'!$A$9:$A$82,"?*"),INDEX('SL bán theo ngày'!N$9:N$82,ROWS($A$11:$A71)),"")</f>
        <v/>
      </c>
      <c r="L71" s="49" t="str">
        <f t="array" aca="1" ref="L71" ca="1">IF(ROWS($A$11:$A71)&lt;=COUNTIF('SL bán theo ngày'!$A$9:$A$82,"?*"),INDEX('SL bán theo ngày'!O$9:O$82,ROWS($A$11:$A71)),"")</f>
        <v/>
      </c>
      <c r="M71" s="49" t="str">
        <f t="array" aca="1" ref="M71" ca="1">IF(ROWS($A$11:$A71)&lt;=COUNTIF('SL bán theo ngày'!$A$9:$A$82,"?*"),INDEX('SL bán theo ngày'!P$9:P$82,ROWS($A$11:$A71)),"")</f>
        <v/>
      </c>
      <c r="N71" s="49" t="str">
        <f t="array" aca="1" ref="N71" ca="1">IF(ROWS($A$11:$A71)&lt;=COUNTIF('SL bán theo ngày'!$A$9:$A$82,"?*"),INDEX('SL bán theo ngày'!Q$9:Q$82,ROWS($A$11:$A71)),"")</f>
        <v/>
      </c>
      <c r="O71" s="49" t="str">
        <f t="array" aca="1" ref="O71" ca="1">IF(ROWS($A$11:$A71)&lt;=COUNTIF('SL bán theo ngày'!$A$9:$A$82,"?*"),INDEX('SL bán theo ngày'!R$9:R$82,ROWS($A$11:$A71)),"")</f>
        <v/>
      </c>
      <c r="P71" s="49" t="str">
        <f t="array" aca="1" ref="P71" ca="1">IF(ROWS($A$11:$A71)&lt;=COUNTIF('SL bán theo ngày'!$A$9:$A$82,"?*"),INDEX('SL bán theo ngày'!S$9:S$82,ROWS($A$11:$A71)),"")</f>
        <v/>
      </c>
      <c r="Q71" s="49" t="str">
        <f t="array" aca="1" ref="Q71" ca="1">IF(ROWS($A$11:$A71)&lt;=COUNTIF('SL bán theo ngày'!$A$9:$A$82,"?*"),INDEX('SL bán theo ngày'!T$9:T$82,ROWS($A$11:$A71)),"")</f>
        <v/>
      </c>
      <c r="R71" s="49" t="str">
        <f t="array" aca="1" ref="R71" ca="1">IF(ROWS($A$11:$A71)&lt;=COUNTIF('SL bán theo ngày'!$A$9:$A$82,"?*"),INDEX('SL bán theo ngày'!U$9:U$82,ROWS($A$11:$A71)),"")</f>
        <v/>
      </c>
      <c r="S71" s="49" t="str">
        <f t="array" aca="1" ref="S71" ca="1">IF(ROWS($A$11:$A71)&lt;=COUNTIF('SL bán theo ngày'!$A$9:$A$82,"?*"),INDEX('SL bán theo ngày'!V$9:V$82,ROWS($A$11:$A71)),"")</f>
        <v/>
      </c>
      <c r="T71" s="49" t="str">
        <f t="array" aca="1" ref="T71" ca="1">IF(ROWS($A$11:$A71)&lt;=COUNTIF('SL bán theo ngày'!$A$9:$A$82,"?*"),INDEX('SL bán theo ngày'!W$9:W$82,ROWS($A$11:$A71)),"")</f>
        <v/>
      </c>
      <c r="U71" s="49" t="str">
        <f t="array" aca="1" ref="U71" ca="1">IF(ROWS($A$11:$A71)&lt;=COUNTIF('SL bán theo ngày'!$A$9:$A$82,"?*"),INDEX('SL bán theo ngày'!X$9:X$82,ROWS($A$11:$A71)),"")</f>
        <v/>
      </c>
      <c r="V71" s="49" t="str">
        <f t="array" aca="1" ref="V71" ca="1">IF(ROWS($A$11:$A71)&lt;=COUNTIF('SL bán theo ngày'!$A$9:$A$82,"?*"),INDEX('SL bán theo ngày'!Y$9:Y$82,ROWS($A$11:$A71)),"")</f>
        <v/>
      </c>
      <c r="W71" s="49" t="str">
        <f t="array" aca="1" ref="W71" ca="1">IF(ROWS($A$11:$A71)&lt;=COUNTIF('SL bán theo ngày'!$A$9:$A$82,"?*"),INDEX('SL bán theo ngày'!Z$9:Z$82,ROWS($A$11:$A71)),"")</f>
        <v/>
      </c>
      <c r="X71" s="49" t="str">
        <f t="array" aca="1" ref="X71" ca="1">IF(ROWS($A$11:$A71)&lt;=COUNTIF('SL bán theo ngày'!$A$9:$A$82,"?*"),INDEX('SL bán theo ngày'!AA$9:AA$82,ROWS($A$11:$A71)),"")</f>
        <v/>
      </c>
      <c r="Y71" s="49" t="str">
        <f t="array" aca="1" ref="Y71" ca="1">IF(ROWS($A$11:$A71)&lt;=COUNTIF('SL bán theo ngày'!$A$9:$A$82,"?*"),INDEX('SL bán theo ngày'!AB$9:AB$82,ROWS($A$11:$A71)),"")</f>
        <v/>
      </c>
      <c r="Z71" s="49" t="str">
        <f t="array" aca="1" ref="Z71" ca="1">IF(ROWS($A$11:$A71)&lt;=COUNTIF('SL bán theo ngày'!$A$9:$A$82,"?*"),INDEX('SL bán theo ngày'!AC$9:AC$82,ROWS($A$11:$A71)),"")</f>
        <v/>
      </c>
      <c r="AA71" s="49" t="str">
        <f t="array" aca="1" ref="AA71" ca="1">IF(ROWS($A$11:$A71)&lt;=COUNTIF('SL bán theo ngày'!$A$9:$A$82,"?*"),INDEX('SL bán theo ngày'!AD$9:AD$82,ROWS($A$11:$A71)),"")</f>
        <v/>
      </c>
      <c r="AB71" s="49" t="str">
        <f t="array" aca="1" ref="AB71" ca="1">IF(ROWS($A$11:$A71)&lt;=COUNTIF('SL bán theo ngày'!$A$9:$A$82,"?*"),INDEX('SL bán theo ngày'!AE$9:AE$82,ROWS($A$11:$A71)),"")</f>
        <v/>
      </c>
      <c r="AC71" s="49" t="str">
        <f t="array" aca="1" ref="AC71" ca="1">IF(ROWS($A$11:$A71)&lt;=COUNTIF('SL bán theo ngày'!$A$9:$A$82,"?*"),INDEX('SL bán theo ngày'!AF$9:AF$82,ROWS($A$11:$A71)),"")</f>
        <v/>
      </c>
      <c r="AD71" s="49" t="str">
        <f t="array" aca="1" ref="AD71" ca="1">IF(ROWS($A$11:$A71)&lt;=COUNTIF('SL bán theo ngày'!$A$9:$A$82,"?*"),INDEX('SL bán theo ngày'!AG$9:AG$82,ROWS($A$11:$A71)),"")</f>
        <v/>
      </c>
      <c r="AE71" s="49" t="str">
        <f t="array" aca="1" ref="AE71" ca="1">IF(ROWS($A$11:$A71)&lt;=COUNTIF('SL bán theo ngày'!$A$9:$A$82,"?*"),INDEX('SL bán theo ngày'!AH$9:AH$82,ROWS($A$11:$A71)),"")</f>
        <v/>
      </c>
      <c r="AF71" s="49" t="str">
        <f t="array" aca="1" ref="AF71" ca="1">IF(ROWS($A$11:$A71)&lt;=COUNTIF('SL bán theo ngày'!$A$9:$A$82,"?*"),INDEX('SL bán theo ngày'!AI$9:AI$82,ROWS($A$11:$A71)),"")</f>
        <v/>
      </c>
      <c r="AG71" s="49" t="str">
        <f t="array" aca="1" ref="AG71" ca="1">IF(ROWS($A$11:$A71)&lt;=COUNTIF('SL bán theo ngày'!$A$9:$A$82,"?*"),INDEX('SL bán theo ngày'!C$9:C$82,ROWS($A$11:$A71)),"")</f>
        <v/>
      </c>
      <c r="AH71" s="74" t="str">
        <f t="array" aca="1" ref="AH71" ca="1">IF(ROWS($A$11:$A71)&lt;=COUNTIF('SL bán theo ngày'!$A$9:$A$82,"?*"),INDEX('SL bán theo ngày'!D$9:D$82,ROWS($A$11:$A71)),"")</f>
        <v/>
      </c>
      <c r="AI71" s="49" t="str">
        <f t="array" aca="1" ref="AI71" ca="1">IF(ROWS($A$11:$A71)&lt;=COUNTIF('SL bán theo ngày'!$A$9:$A$82,"?*"),INDEX('SL bán theo ngày'!E$9:E$82,ROWS($A$11:$A71)),"")</f>
        <v/>
      </c>
      <c r="AJ71" s="49" t="str">
        <f t="array" aca="1" ref="AJ71" ca="1">IF(ROWS($A$11:$A71)&lt;=COUNTIF('SL bán theo ngày'!$A$9:$A$82,"?*"),INDEX('SL bán theo ngày'!AJ$9:AJ$82,ROWS($A$11:$A71)),"")</f>
        <v/>
      </c>
      <c r="AK71" s="49" t="str">
        <f t="array" aca="1" ref="AK71" ca="1">IF(ROWS($A$11:$A71)&lt;=COUNTIF('SL bán theo ngày'!$A$9:$A$82,"?*"),INDEX('SL bán theo ngày'!AK$9:AK$82,ROWS($A$11:$A71)),"")</f>
        <v/>
      </c>
    </row>
    <row r="72" spans="1:37" ht="15.75" customHeight="1" x14ac:dyDescent="0.25">
      <c r="A72" s="33" t="str">
        <f t="array" aca="1" ref="A72" ca="1">IF(ROWS($A$11:$A72)&lt;=COUNTIF('SL bán theo ngày'!$A$9:$A$82,"?*"),INDEX('SL bán theo ngày'!A$9:A$82,ROWS($A$11:$A72)),"")</f>
        <v/>
      </c>
      <c r="B72" s="37" t="str">
        <f t="array" aca="1" ref="B72" ca="1">IF(ROWS($A$11:$A72)&lt;=COUNTIF('SL bán theo ngày'!$A$9:$A$82,"?*"),INDEX('SL bán theo ngày'!B$9:B$82,ROWS($A$11:$A72)),"")</f>
        <v/>
      </c>
      <c r="C72" s="79" t="str">
        <f t="array" aca="1" ref="C72" ca="1">IF(ROWS($A$11:$A72)&lt;=COUNTIF('SL bán theo ngày'!$A$9:$A$82,"?*"),INDEX('SL bán theo ngày'!F$9:F$82,ROWS($A$11:$A72)),"")</f>
        <v/>
      </c>
      <c r="D72" s="49" t="str">
        <f t="array" aca="1" ref="D72" ca="1">IF(ROWS($A$11:$A72)&lt;=COUNTIF('SL bán theo ngày'!$A$9:$A$82,"?*"),INDEX('SL bán theo ngày'!G$9:G$82,ROWS($A$11:$A72)),"")</f>
        <v/>
      </c>
      <c r="E72" s="49" t="str">
        <f t="array" aca="1" ref="E72" ca="1">IF(ROWS($A$11:$A72)&lt;=COUNTIF('SL bán theo ngày'!$A$9:$A$82,"?*"),INDEX('SL bán theo ngày'!H$9:H$82,ROWS($A$11:$A72)),"")</f>
        <v/>
      </c>
      <c r="F72" s="49" t="str">
        <f t="array" aca="1" ref="F72" ca="1">IF(ROWS($A$11:$A72)&lt;=COUNTIF('SL bán theo ngày'!$A$9:$A$82,"?*"),INDEX('SL bán theo ngày'!I$9:I$82,ROWS($A$11:$A72)),"")</f>
        <v/>
      </c>
      <c r="G72" s="49" t="str">
        <f t="array" aca="1" ref="G72" ca="1">IF(ROWS($A$11:$A72)&lt;=COUNTIF('SL bán theo ngày'!$A$9:$A$82,"?*"),INDEX('SL bán theo ngày'!J$9:J$82,ROWS($A$11:$A72)),"")</f>
        <v/>
      </c>
      <c r="H72" s="49" t="str">
        <f t="array" aca="1" ref="H72" ca="1">IF(ROWS($A$11:$A72)&lt;=COUNTIF('SL bán theo ngày'!$A$9:$A$82,"?*"),INDEX('SL bán theo ngày'!K$9:K$82,ROWS($A$11:$A72)),"")</f>
        <v/>
      </c>
      <c r="I72" s="49" t="str">
        <f t="array" aca="1" ref="I72" ca="1">IF(ROWS($A$11:$A72)&lt;=COUNTIF('SL bán theo ngày'!$A$9:$A$82,"?*"),INDEX('SL bán theo ngày'!L$9:L$82,ROWS($A$11:$A72)),"")</f>
        <v/>
      </c>
      <c r="J72" s="49" t="str">
        <f t="array" aca="1" ref="J72" ca="1">IF(ROWS($A$11:$A72)&lt;=COUNTIF('SL bán theo ngày'!$A$9:$A$82,"?*"),INDEX('SL bán theo ngày'!M$9:M$82,ROWS($A$11:$A72)),"")</f>
        <v/>
      </c>
      <c r="K72" s="49" t="str">
        <f t="array" aca="1" ref="K72" ca="1">IF(ROWS($A$11:$A72)&lt;=COUNTIF('SL bán theo ngày'!$A$9:$A$82,"?*"),INDEX('SL bán theo ngày'!N$9:N$82,ROWS($A$11:$A72)),"")</f>
        <v/>
      </c>
      <c r="L72" s="49" t="str">
        <f t="array" aca="1" ref="L72" ca="1">IF(ROWS($A$11:$A72)&lt;=COUNTIF('SL bán theo ngày'!$A$9:$A$82,"?*"),INDEX('SL bán theo ngày'!O$9:O$82,ROWS($A$11:$A72)),"")</f>
        <v/>
      </c>
      <c r="M72" s="49" t="str">
        <f t="array" aca="1" ref="M72" ca="1">IF(ROWS($A$11:$A72)&lt;=COUNTIF('SL bán theo ngày'!$A$9:$A$82,"?*"),INDEX('SL bán theo ngày'!P$9:P$82,ROWS($A$11:$A72)),"")</f>
        <v/>
      </c>
      <c r="N72" s="49" t="str">
        <f t="array" aca="1" ref="N72" ca="1">IF(ROWS($A$11:$A72)&lt;=COUNTIF('SL bán theo ngày'!$A$9:$A$82,"?*"),INDEX('SL bán theo ngày'!Q$9:Q$82,ROWS($A$11:$A72)),"")</f>
        <v/>
      </c>
      <c r="O72" s="49" t="str">
        <f t="array" aca="1" ref="O72" ca="1">IF(ROWS($A$11:$A72)&lt;=COUNTIF('SL bán theo ngày'!$A$9:$A$82,"?*"),INDEX('SL bán theo ngày'!R$9:R$82,ROWS($A$11:$A72)),"")</f>
        <v/>
      </c>
      <c r="P72" s="49" t="str">
        <f t="array" aca="1" ref="P72" ca="1">IF(ROWS($A$11:$A72)&lt;=COUNTIF('SL bán theo ngày'!$A$9:$A$82,"?*"),INDEX('SL bán theo ngày'!S$9:S$82,ROWS($A$11:$A72)),"")</f>
        <v/>
      </c>
      <c r="Q72" s="49" t="str">
        <f t="array" aca="1" ref="Q72" ca="1">IF(ROWS($A$11:$A72)&lt;=COUNTIF('SL bán theo ngày'!$A$9:$A$82,"?*"),INDEX('SL bán theo ngày'!T$9:T$82,ROWS($A$11:$A72)),"")</f>
        <v/>
      </c>
      <c r="R72" s="49" t="str">
        <f t="array" aca="1" ref="R72" ca="1">IF(ROWS($A$11:$A72)&lt;=COUNTIF('SL bán theo ngày'!$A$9:$A$82,"?*"),INDEX('SL bán theo ngày'!U$9:U$82,ROWS($A$11:$A72)),"")</f>
        <v/>
      </c>
      <c r="S72" s="49" t="str">
        <f t="array" aca="1" ref="S72" ca="1">IF(ROWS($A$11:$A72)&lt;=COUNTIF('SL bán theo ngày'!$A$9:$A$82,"?*"),INDEX('SL bán theo ngày'!V$9:V$82,ROWS($A$11:$A72)),"")</f>
        <v/>
      </c>
      <c r="T72" s="49" t="str">
        <f t="array" aca="1" ref="T72" ca="1">IF(ROWS($A$11:$A72)&lt;=COUNTIF('SL bán theo ngày'!$A$9:$A$82,"?*"),INDEX('SL bán theo ngày'!W$9:W$82,ROWS($A$11:$A72)),"")</f>
        <v/>
      </c>
      <c r="U72" s="49" t="str">
        <f t="array" aca="1" ref="U72" ca="1">IF(ROWS($A$11:$A72)&lt;=COUNTIF('SL bán theo ngày'!$A$9:$A$82,"?*"),INDEX('SL bán theo ngày'!X$9:X$82,ROWS($A$11:$A72)),"")</f>
        <v/>
      </c>
      <c r="V72" s="49" t="str">
        <f t="array" aca="1" ref="V72" ca="1">IF(ROWS($A$11:$A72)&lt;=COUNTIF('SL bán theo ngày'!$A$9:$A$82,"?*"),INDEX('SL bán theo ngày'!Y$9:Y$82,ROWS($A$11:$A72)),"")</f>
        <v/>
      </c>
      <c r="W72" s="49" t="str">
        <f t="array" aca="1" ref="W72" ca="1">IF(ROWS($A$11:$A72)&lt;=COUNTIF('SL bán theo ngày'!$A$9:$A$82,"?*"),INDEX('SL bán theo ngày'!Z$9:Z$82,ROWS($A$11:$A72)),"")</f>
        <v/>
      </c>
      <c r="X72" s="49" t="str">
        <f t="array" aca="1" ref="X72" ca="1">IF(ROWS($A$11:$A72)&lt;=COUNTIF('SL bán theo ngày'!$A$9:$A$82,"?*"),INDEX('SL bán theo ngày'!AA$9:AA$82,ROWS($A$11:$A72)),"")</f>
        <v/>
      </c>
      <c r="Y72" s="49" t="str">
        <f t="array" aca="1" ref="Y72" ca="1">IF(ROWS($A$11:$A72)&lt;=COUNTIF('SL bán theo ngày'!$A$9:$A$82,"?*"),INDEX('SL bán theo ngày'!AB$9:AB$82,ROWS($A$11:$A72)),"")</f>
        <v/>
      </c>
      <c r="Z72" s="49" t="str">
        <f t="array" aca="1" ref="Z72" ca="1">IF(ROWS($A$11:$A72)&lt;=COUNTIF('SL bán theo ngày'!$A$9:$A$82,"?*"),INDEX('SL bán theo ngày'!AC$9:AC$82,ROWS($A$11:$A72)),"")</f>
        <v/>
      </c>
      <c r="AA72" s="49" t="str">
        <f t="array" aca="1" ref="AA72" ca="1">IF(ROWS($A$11:$A72)&lt;=COUNTIF('SL bán theo ngày'!$A$9:$A$82,"?*"),INDEX('SL bán theo ngày'!AD$9:AD$82,ROWS($A$11:$A72)),"")</f>
        <v/>
      </c>
      <c r="AB72" s="49" t="str">
        <f t="array" aca="1" ref="AB72" ca="1">IF(ROWS($A$11:$A72)&lt;=COUNTIF('SL bán theo ngày'!$A$9:$A$82,"?*"),INDEX('SL bán theo ngày'!AE$9:AE$82,ROWS($A$11:$A72)),"")</f>
        <v/>
      </c>
      <c r="AC72" s="49" t="str">
        <f t="array" aca="1" ref="AC72" ca="1">IF(ROWS($A$11:$A72)&lt;=COUNTIF('SL bán theo ngày'!$A$9:$A$82,"?*"),INDEX('SL bán theo ngày'!AF$9:AF$82,ROWS($A$11:$A72)),"")</f>
        <v/>
      </c>
      <c r="AD72" s="49" t="str">
        <f t="array" aca="1" ref="AD72" ca="1">IF(ROWS($A$11:$A72)&lt;=COUNTIF('SL bán theo ngày'!$A$9:$A$82,"?*"),INDEX('SL bán theo ngày'!AG$9:AG$82,ROWS($A$11:$A72)),"")</f>
        <v/>
      </c>
      <c r="AE72" s="49" t="str">
        <f t="array" aca="1" ref="AE72" ca="1">IF(ROWS($A$11:$A72)&lt;=COUNTIF('SL bán theo ngày'!$A$9:$A$82,"?*"),INDEX('SL bán theo ngày'!AH$9:AH$82,ROWS($A$11:$A72)),"")</f>
        <v/>
      </c>
      <c r="AF72" s="49" t="str">
        <f t="array" aca="1" ref="AF72" ca="1">IF(ROWS($A$11:$A72)&lt;=COUNTIF('SL bán theo ngày'!$A$9:$A$82,"?*"),INDEX('SL bán theo ngày'!AI$9:AI$82,ROWS($A$11:$A72)),"")</f>
        <v/>
      </c>
      <c r="AG72" s="49" t="str">
        <f t="array" aca="1" ref="AG72" ca="1">IF(ROWS($A$11:$A72)&lt;=COUNTIF('SL bán theo ngày'!$A$9:$A$82,"?*"),INDEX('SL bán theo ngày'!C$9:C$82,ROWS($A$11:$A72)),"")</f>
        <v/>
      </c>
      <c r="AH72" s="74" t="str">
        <f t="array" aca="1" ref="AH72" ca="1">IF(ROWS($A$11:$A72)&lt;=COUNTIF('SL bán theo ngày'!$A$9:$A$82,"?*"),INDEX('SL bán theo ngày'!D$9:D$82,ROWS($A$11:$A72)),"")</f>
        <v/>
      </c>
      <c r="AI72" s="49" t="str">
        <f t="array" aca="1" ref="AI72" ca="1">IF(ROWS($A$11:$A72)&lt;=COUNTIF('SL bán theo ngày'!$A$9:$A$82,"?*"),INDEX('SL bán theo ngày'!E$9:E$82,ROWS($A$11:$A72)),"")</f>
        <v/>
      </c>
      <c r="AJ72" s="49" t="str">
        <f t="array" aca="1" ref="AJ72" ca="1">IF(ROWS($A$11:$A72)&lt;=COUNTIF('SL bán theo ngày'!$A$9:$A$82,"?*"),INDEX('SL bán theo ngày'!AJ$9:AJ$82,ROWS($A$11:$A72)),"")</f>
        <v/>
      </c>
      <c r="AK72" s="49" t="str">
        <f t="array" aca="1" ref="AK72" ca="1">IF(ROWS($A$11:$A72)&lt;=COUNTIF('SL bán theo ngày'!$A$9:$A$82,"?*"),INDEX('SL bán theo ngày'!AK$9:AK$82,ROWS($A$11:$A72)),"")</f>
        <v/>
      </c>
    </row>
    <row r="73" spans="1:37" ht="15.75" customHeight="1" x14ac:dyDescent="0.25">
      <c r="A73" s="33" t="str">
        <f t="array" aca="1" ref="A73" ca="1">IF(ROWS($A$11:$A73)&lt;=COUNTIF('SL bán theo ngày'!$A$9:$A$82,"?*"),INDEX('SL bán theo ngày'!A$9:A$82,ROWS($A$11:$A73)),"")</f>
        <v/>
      </c>
      <c r="B73" s="37" t="str">
        <f t="array" aca="1" ref="B73" ca="1">IF(ROWS($A$11:$A73)&lt;=COUNTIF('SL bán theo ngày'!$A$9:$A$82,"?*"),INDEX('SL bán theo ngày'!B$9:B$82,ROWS($A$11:$A73)),"")</f>
        <v/>
      </c>
      <c r="C73" s="79" t="str">
        <f t="array" aca="1" ref="C73" ca="1">IF(ROWS($A$11:$A73)&lt;=COUNTIF('SL bán theo ngày'!$A$9:$A$82,"?*"),INDEX('SL bán theo ngày'!F$9:F$82,ROWS($A$11:$A73)),"")</f>
        <v/>
      </c>
      <c r="D73" s="49" t="str">
        <f t="array" aca="1" ref="D73" ca="1">IF(ROWS($A$11:$A73)&lt;=COUNTIF('SL bán theo ngày'!$A$9:$A$82,"?*"),INDEX('SL bán theo ngày'!G$9:G$82,ROWS($A$11:$A73)),"")</f>
        <v/>
      </c>
      <c r="E73" s="49" t="str">
        <f t="array" aca="1" ref="E73" ca="1">IF(ROWS($A$11:$A73)&lt;=COUNTIF('SL bán theo ngày'!$A$9:$A$82,"?*"),INDEX('SL bán theo ngày'!H$9:H$82,ROWS($A$11:$A73)),"")</f>
        <v/>
      </c>
      <c r="F73" s="49" t="str">
        <f t="array" aca="1" ref="F73" ca="1">IF(ROWS($A$11:$A73)&lt;=COUNTIF('SL bán theo ngày'!$A$9:$A$82,"?*"),INDEX('SL bán theo ngày'!I$9:I$82,ROWS($A$11:$A73)),"")</f>
        <v/>
      </c>
      <c r="G73" s="49" t="str">
        <f t="array" aca="1" ref="G73" ca="1">IF(ROWS($A$11:$A73)&lt;=COUNTIF('SL bán theo ngày'!$A$9:$A$82,"?*"),INDEX('SL bán theo ngày'!J$9:J$82,ROWS($A$11:$A73)),"")</f>
        <v/>
      </c>
      <c r="H73" s="49" t="str">
        <f t="array" aca="1" ref="H73" ca="1">IF(ROWS($A$11:$A73)&lt;=COUNTIF('SL bán theo ngày'!$A$9:$A$82,"?*"),INDEX('SL bán theo ngày'!K$9:K$82,ROWS($A$11:$A73)),"")</f>
        <v/>
      </c>
      <c r="I73" s="49" t="str">
        <f t="array" aca="1" ref="I73" ca="1">IF(ROWS($A$11:$A73)&lt;=COUNTIF('SL bán theo ngày'!$A$9:$A$82,"?*"),INDEX('SL bán theo ngày'!L$9:L$82,ROWS($A$11:$A73)),"")</f>
        <v/>
      </c>
      <c r="J73" s="49" t="str">
        <f t="array" aca="1" ref="J73" ca="1">IF(ROWS($A$11:$A73)&lt;=COUNTIF('SL bán theo ngày'!$A$9:$A$82,"?*"),INDEX('SL bán theo ngày'!M$9:M$82,ROWS($A$11:$A73)),"")</f>
        <v/>
      </c>
      <c r="K73" s="49" t="str">
        <f t="array" aca="1" ref="K73" ca="1">IF(ROWS($A$11:$A73)&lt;=COUNTIF('SL bán theo ngày'!$A$9:$A$82,"?*"),INDEX('SL bán theo ngày'!N$9:N$82,ROWS($A$11:$A73)),"")</f>
        <v/>
      </c>
      <c r="L73" s="49" t="str">
        <f t="array" aca="1" ref="L73" ca="1">IF(ROWS($A$11:$A73)&lt;=COUNTIF('SL bán theo ngày'!$A$9:$A$82,"?*"),INDEX('SL bán theo ngày'!O$9:O$82,ROWS($A$11:$A73)),"")</f>
        <v/>
      </c>
      <c r="M73" s="49" t="str">
        <f t="array" aca="1" ref="M73" ca="1">IF(ROWS($A$11:$A73)&lt;=COUNTIF('SL bán theo ngày'!$A$9:$A$82,"?*"),INDEX('SL bán theo ngày'!P$9:P$82,ROWS($A$11:$A73)),"")</f>
        <v/>
      </c>
      <c r="N73" s="49" t="str">
        <f t="array" aca="1" ref="N73" ca="1">IF(ROWS($A$11:$A73)&lt;=COUNTIF('SL bán theo ngày'!$A$9:$A$82,"?*"),INDEX('SL bán theo ngày'!Q$9:Q$82,ROWS($A$11:$A73)),"")</f>
        <v/>
      </c>
      <c r="O73" s="49" t="str">
        <f t="array" aca="1" ref="O73" ca="1">IF(ROWS($A$11:$A73)&lt;=COUNTIF('SL bán theo ngày'!$A$9:$A$82,"?*"),INDEX('SL bán theo ngày'!R$9:R$82,ROWS($A$11:$A73)),"")</f>
        <v/>
      </c>
      <c r="P73" s="49" t="str">
        <f t="array" aca="1" ref="P73" ca="1">IF(ROWS($A$11:$A73)&lt;=COUNTIF('SL bán theo ngày'!$A$9:$A$82,"?*"),INDEX('SL bán theo ngày'!S$9:S$82,ROWS($A$11:$A73)),"")</f>
        <v/>
      </c>
      <c r="Q73" s="49" t="str">
        <f t="array" aca="1" ref="Q73" ca="1">IF(ROWS($A$11:$A73)&lt;=COUNTIF('SL bán theo ngày'!$A$9:$A$82,"?*"),INDEX('SL bán theo ngày'!T$9:T$82,ROWS($A$11:$A73)),"")</f>
        <v/>
      </c>
      <c r="R73" s="49" t="str">
        <f t="array" aca="1" ref="R73" ca="1">IF(ROWS($A$11:$A73)&lt;=COUNTIF('SL bán theo ngày'!$A$9:$A$82,"?*"),INDEX('SL bán theo ngày'!U$9:U$82,ROWS($A$11:$A73)),"")</f>
        <v/>
      </c>
      <c r="S73" s="49" t="str">
        <f t="array" aca="1" ref="S73" ca="1">IF(ROWS($A$11:$A73)&lt;=COUNTIF('SL bán theo ngày'!$A$9:$A$82,"?*"),INDEX('SL bán theo ngày'!V$9:V$82,ROWS($A$11:$A73)),"")</f>
        <v/>
      </c>
      <c r="T73" s="49" t="str">
        <f t="array" aca="1" ref="T73" ca="1">IF(ROWS($A$11:$A73)&lt;=COUNTIF('SL bán theo ngày'!$A$9:$A$82,"?*"),INDEX('SL bán theo ngày'!W$9:W$82,ROWS($A$11:$A73)),"")</f>
        <v/>
      </c>
      <c r="U73" s="49" t="str">
        <f t="array" aca="1" ref="U73" ca="1">IF(ROWS($A$11:$A73)&lt;=COUNTIF('SL bán theo ngày'!$A$9:$A$82,"?*"),INDEX('SL bán theo ngày'!X$9:X$82,ROWS($A$11:$A73)),"")</f>
        <v/>
      </c>
      <c r="V73" s="49" t="str">
        <f t="array" aca="1" ref="V73" ca="1">IF(ROWS($A$11:$A73)&lt;=COUNTIF('SL bán theo ngày'!$A$9:$A$82,"?*"),INDEX('SL bán theo ngày'!Y$9:Y$82,ROWS($A$11:$A73)),"")</f>
        <v/>
      </c>
      <c r="W73" s="49" t="str">
        <f t="array" aca="1" ref="W73" ca="1">IF(ROWS($A$11:$A73)&lt;=COUNTIF('SL bán theo ngày'!$A$9:$A$82,"?*"),INDEX('SL bán theo ngày'!Z$9:Z$82,ROWS($A$11:$A73)),"")</f>
        <v/>
      </c>
      <c r="X73" s="49" t="str">
        <f t="array" aca="1" ref="X73" ca="1">IF(ROWS($A$11:$A73)&lt;=COUNTIF('SL bán theo ngày'!$A$9:$A$82,"?*"),INDEX('SL bán theo ngày'!AA$9:AA$82,ROWS($A$11:$A73)),"")</f>
        <v/>
      </c>
      <c r="Y73" s="49" t="str">
        <f t="array" aca="1" ref="Y73" ca="1">IF(ROWS($A$11:$A73)&lt;=COUNTIF('SL bán theo ngày'!$A$9:$A$82,"?*"),INDEX('SL bán theo ngày'!AB$9:AB$82,ROWS($A$11:$A73)),"")</f>
        <v/>
      </c>
      <c r="Z73" s="49" t="str">
        <f t="array" aca="1" ref="Z73" ca="1">IF(ROWS($A$11:$A73)&lt;=COUNTIF('SL bán theo ngày'!$A$9:$A$82,"?*"),INDEX('SL bán theo ngày'!AC$9:AC$82,ROWS($A$11:$A73)),"")</f>
        <v/>
      </c>
      <c r="AA73" s="49" t="str">
        <f t="array" aca="1" ref="AA73" ca="1">IF(ROWS($A$11:$A73)&lt;=COUNTIF('SL bán theo ngày'!$A$9:$A$82,"?*"),INDEX('SL bán theo ngày'!AD$9:AD$82,ROWS($A$11:$A73)),"")</f>
        <v/>
      </c>
      <c r="AB73" s="49" t="str">
        <f t="array" aca="1" ref="AB73" ca="1">IF(ROWS($A$11:$A73)&lt;=COUNTIF('SL bán theo ngày'!$A$9:$A$82,"?*"),INDEX('SL bán theo ngày'!AE$9:AE$82,ROWS($A$11:$A73)),"")</f>
        <v/>
      </c>
      <c r="AC73" s="49" t="str">
        <f t="array" aca="1" ref="AC73" ca="1">IF(ROWS($A$11:$A73)&lt;=COUNTIF('SL bán theo ngày'!$A$9:$A$82,"?*"),INDEX('SL bán theo ngày'!AF$9:AF$82,ROWS($A$11:$A73)),"")</f>
        <v/>
      </c>
      <c r="AD73" s="49" t="str">
        <f t="array" aca="1" ref="AD73" ca="1">IF(ROWS($A$11:$A73)&lt;=COUNTIF('SL bán theo ngày'!$A$9:$A$82,"?*"),INDEX('SL bán theo ngày'!AG$9:AG$82,ROWS($A$11:$A73)),"")</f>
        <v/>
      </c>
      <c r="AE73" s="49" t="str">
        <f t="array" aca="1" ref="AE73" ca="1">IF(ROWS($A$11:$A73)&lt;=COUNTIF('SL bán theo ngày'!$A$9:$A$82,"?*"),INDEX('SL bán theo ngày'!AH$9:AH$82,ROWS($A$11:$A73)),"")</f>
        <v/>
      </c>
      <c r="AF73" s="49" t="str">
        <f t="array" aca="1" ref="AF73" ca="1">IF(ROWS($A$11:$A73)&lt;=COUNTIF('SL bán theo ngày'!$A$9:$A$82,"?*"),INDEX('SL bán theo ngày'!AI$9:AI$82,ROWS($A$11:$A73)),"")</f>
        <v/>
      </c>
      <c r="AG73" s="49" t="str">
        <f t="array" aca="1" ref="AG73" ca="1">IF(ROWS($A$11:$A73)&lt;=COUNTIF('SL bán theo ngày'!$A$9:$A$82,"?*"),INDEX('SL bán theo ngày'!C$9:C$82,ROWS($A$11:$A73)),"")</f>
        <v/>
      </c>
      <c r="AH73" s="74" t="str">
        <f t="array" aca="1" ref="AH73" ca="1">IF(ROWS($A$11:$A73)&lt;=COUNTIF('SL bán theo ngày'!$A$9:$A$82,"?*"),INDEX('SL bán theo ngày'!D$9:D$82,ROWS($A$11:$A73)),"")</f>
        <v/>
      </c>
      <c r="AI73" s="49" t="str">
        <f t="array" aca="1" ref="AI73" ca="1">IF(ROWS($A$11:$A73)&lt;=COUNTIF('SL bán theo ngày'!$A$9:$A$82,"?*"),INDEX('SL bán theo ngày'!E$9:E$82,ROWS($A$11:$A73)),"")</f>
        <v/>
      </c>
      <c r="AJ73" s="49" t="str">
        <f t="array" aca="1" ref="AJ73" ca="1">IF(ROWS($A$11:$A73)&lt;=COUNTIF('SL bán theo ngày'!$A$9:$A$82,"?*"),INDEX('SL bán theo ngày'!AJ$9:AJ$82,ROWS($A$11:$A73)),"")</f>
        <v/>
      </c>
      <c r="AK73" s="49" t="str">
        <f t="array" aca="1" ref="AK73" ca="1">IF(ROWS($A$11:$A73)&lt;=COUNTIF('SL bán theo ngày'!$A$9:$A$82,"?*"),INDEX('SL bán theo ngày'!AK$9:AK$82,ROWS($A$11:$A73)),"")</f>
        <v/>
      </c>
    </row>
    <row r="74" spans="1:37" ht="15.75" customHeight="1" x14ac:dyDescent="0.25">
      <c r="A74" s="33" t="str">
        <f t="array" aca="1" ref="A74" ca="1">IF(ROWS($A$11:$A74)&lt;=COUNTIF('SL bán theo ngày'!$A$9:$A$82,"?*"),INDEX('SL bán theo ngày'!A$9:A$82,ROWS($A$11:$A74)),"")</f>
        <v/>
      </c>
      <c r="B74" s="37" t="str">
        <f t="array" aca="1" ref="B74" ca="1">IF(ROWS($A$11:$A74)&lt;=COUNTIF('SL bán theo ngày'!$A$9:$A$82,"?*"),INDEX('SL bán theo ngày'!B$9:B$82,ROWS($A$11:$A74)),"")</f>
        <v/>
      </c>
      <c r="C74" s="79" t="str">
        <f t="array" aca="1" ref="C74" ca="1">IF(ROWS($A$11:$A74)&lt;=COUNTIF('SL bán theo ngày'!$A$9:$A$82,"?*"),INDEX('SL bán theo ngày'!F$9:F$82,ROWS($A$11:$A74)),"")</f>
        <v/>
      </c>
      <c r="D74" s="49" t="str">
        <f t="array" aca="1" ref="D74" ca="1">IF(ROWS($A$11:$A74)&lt;=COUNTIF('SL bán theo ngày'!$A$9:$A$82,"?*"),INDEX('SL bán theo ngày'!G$9:G$82,ROWS($A$11:$A74)),"")</f>
        <v/>
      </c>
      <c r="E74" s="49" t="str">
        <f t="array" aca="1" ref="E74" ca="1">IF(ROWS($A$11:$A74)&lt;=COUNTIF('SL bán theo ngày'!$A$9:$A$82,"?*"),INDEX('SL bán theo ngày'!H$9:H$82,ROWS($A$11:$A74)),"")</f>
        <v/>
      </c>
      <c r="F74" s="49" t="str">
        <f t="array" aca="1" ref="F74" ca="1">IF(ROWS($A$11:$A74)&lt;=COUNTIF('SL bán theo ngày'!$A$9:$A$82,"?*"),INDEX('SL bán theo ngày'!I$9:I$82,ROWS($A$11:$A74)),"")</f>
        <v/>
      </c>
      <c r="G74" s="49" t="str">
        <f t="array" aca="1" ref="G74" ca="1">IF(ROWS($A$11:$A74)&lt;=COUNTIF('SL bán theo ngày'!$A$9:$A$82,"?*"),INDEX('SL bán theo ngày'!J$9:J$82,ROWS($A$11:$A74)),"")</f>
        <v/>
      </c>
      <c r="H74" s="49" t="str">
        <f t="array" aca="1" ref="H74" ca="1">IF(ROWS($A$11:$A74)&lt;=COUNTIF('SL bán theo ngày'!$A$9:$A$82,"?*"),INDEX('SL bán theo ngày'!K$9:K$82,ROWS($A$11:$A74)),"")</f>
        <v/>
      </c>
      <c r="I74" s="49" t="str">
        <f t="array" aca="1" ref="I74" ca="1">IF(ROWS($A$11:$A74)&lt;=COUNTIF('SL bán theo ngày'!$A$9:$A$82,"?*"),INDEX('SL bán theo ngày'!L$9:L$82,ROWS($A$11:$A74)),"")</f>
        <v/>
      </c>
      <c r="J74" s="49" t="str">
        <f t="array" aca="1" ref="J74" ca="1">IF(ROWS($A$11:$A74)&lt;=COUNTIF('SL bán theo ngày'!$A$9:$A$82,"?*"),INDEX('SL bán theo ngày'!M$9:M$82,ROWS($A$11:$A74)),"")</f>
        <v/>
      </c>
      <c r="K74" s="49" t="str">
        <f t="array" aca="1" ref="K74" ca="1">IF(ROWS($A$11:$A74)&lt;=COUNTIF('SL bán theo ngày'!$A$9:$A$82,"?*"),INDEX('SL bán theo ngày'!N$9:N$82,ROWS($A$11:$A74)),"")</f>
        <v/>
      </c>
      <c r="L74" s="49" t="str">
        <f t="array" aca="1" ref="L74" ca="1">IF(ROWS($A$11:$A74)&lt;=COUNTIF('SL bán theo ngày'!$A$9:$A$82,"?*"),INDEX('SL bán theo ngày'!O$9:O$82,ROWS($A$11:$A74)),"")</f>
        <v/>
      </c>
      <c r="M74" s="49" t="str">
        <f t="array" aca="1" ref="M74" ca="1">IF(ROWS($A$11:$A74)&lt;=COUNTIF('SL bán theo ngày'!$A$9:$A$82,"?*"),INDEX('SL bán theo ngày'!P$9:P$82,ROWS($A$11:$A74)),"")</f>
        <v/>
      </c>
      <c r="N74" s="49" t="str">
        <f t="array" aca="1" ref="N74" ca="1">IF(ROWS($A$11:$A74)&lt;=COUNTIF('SL bán theo ngày'!$A$9:$A$82,"?*"),INDEX('SL bán theo ngày'!Q$9:Q$82,ROWS($A$11:$A74)),"")</f>
        <v/>
      </c>
      <c r="O74" s="49" t="str">
        <f t="array" aca="1" ref="O74" ca="1">IF(ROWS($A$11:$A74)&lt;=COUNTIF('SL bán theo ngày'!$A$9:$A$82,"?*"),INDEX('SL bán theo ngày'!R$9:R$82,ROWS($A$11:$A74)),"")</f>
        <v/>
      </c>
      <c r="P74" s="49" t="str">
        <f t="array" aca="1" ref="P74" ca="1">IF(ROWS($A$11:$A74)&lt;=COUNTIF('SL bán theo ngày'!$A$9:$A$82,"?*"),INDEX('SL bán theo ngày'!S$9:S$82,ROWS($A$11:$A74)),"")</f>
        <v/>
      </c>
      <c r="Q74" s="49" t="str">
        <f t="array" aca="1" ref="Q74" ca="1">IF(ROWS($A$11:$A74)&lt;=COUNTIF('SL bán theo ngày'!$A$9:$A$82,"?*"),INDEX('SL bán theo ngày'!T$9:T$82,ROWS($A$11:$A74)),"")</f>
        <v/>
      </c>
      <c r="R74" s="49" t="str">
        <f t="array" aca="1" ref="R74" ca="1">IF(ROWS($A$11:$A74)&lt;=COUNTIF('SL bán theo ngày'!$A$9:$A$82,"?*"),INDEX('SL bán theo ngày'!U$9:U$82,ROWS($A$11:$A74)),"")</f>
        <v/>
      </c>
      <c r="S74" s="49" t="str">
        <f t="array" aca="1" ref="S74" ca="1">IF(ROWS($A$11:$A74)&lt;=COUNTIF('SL bán theo ngày'!$A$9:$A$82,"?*"),INDEX('SL bán theo ngày'!V$9:V$82,ROWS($A$11:$A74)),"")</f>
        <v/>
      </c>
      <c r="T74" s="49" t="str">
        <f t="array" aca="1" ref="T74" ca="1">IF(ROWS($A$11:$A74)&lt;=COUNTIF('SL bán theo ngày'!$A$9:$A$82,"?*"),INDEX('SL bán theo ngày'!W$9:W$82,ROWS($A$11:$A74)),"")</f>
        <v/>
      </c>
      <c r="U74" s="49" t="str">
        <f t="array" aca="1" ref="U74" ca="1">IF(ROWS($A$11:$A74)&lt;=COUNTIF('SL bán theo ngày'!$A$9:$A$82,"?*"),INDEX('SL bán theo ngày'!X$9:X$82,ROWS($A$11:$A74)),"")</f>
        <v/>
      </c>
      <c r="V74" s="49" t="str">
        <f t="array" aca="1" ref="V74" ca="1">IF(ROWS($A$11:$A74)&lt;=COUNTIF('SL bán theo ngày'!$A$9:$A$82,"?*"),INDEX('SL bán theo ngày'!Y$9:Y$82,ROWS($A$11:$A74)),"")</f>
        <v/>
      </c>
      <c r="W74" s="49" t="str">
        <f t="array" aca="1" ref="W74" ca="1">IF(ROWS($A$11:$A74)&lt;=COUNTIF('SL bán theo ngày'!$A$9:$A$82,"?*"),INDEX('SL bán theo ngày'!Z$9:Z$82,ROWS($A$11:$A74)),"")</f>
        <v/>
      </c>
      <c r="X74" s="49" t="str">
        <f t="array" aca="1" ref="X74" ca="1">IF(ROWS($A$11:$A74)&lt;=COUNTIF('SL bán theo ngày'!$A$9:$A$82,"?*"),INDEX('SL bán theo ngày'!AA$9:AA$82,ROWS($A$11:$A74)),"")</f>
        <v/>
      </c>
      <c r="Y74" s="49" t="str">
        <f t="array" aca="1" ref="Y74" ca="1">IF(ROWS($A$11:$A74)&lt;=COUNTIF('SL bán theo ngày'!$A$9:$A$82,"?*"),INDEX('SL bán theo ngày'!AB$9:AB$82,ROWS($A$11:$A74)),"")</f>
        <v/>
      </c>
      <c r="Z74" s="49" t="str">
        <f t="array" aca="1" ref="Z74" ca="1">IF(ROWS($A$11:$A74)&lt;=COUNTIF('SL bán theo ngày'!$A$9:$A$82,"?*"),INDEX('SL bán theo ngày'!AC$9:AC$82,ROWS($A$11:$A74)),"")</f>
        <v/>
      </c>
      <c r="AA74" s="49" t="str">
        <f t="array" aca="1" ref="AA74" ca="1">IF(ROWS($A$11:$A74)&lt;=COUNTIF('SL bán theo ngày'!$A$9:$A$82,"?*"),INDEX('SL bán theo ngày'!AD$9:AD$82,ROWS($A$11:$A74)),"")</f>
        <v/>
      </c>
      <c r="AB74" s="49" t="str">
        <f t="array" aca="1" ref="AB74" ca="1">IF(ROWS($A$11:$A74)&lt;=COUNTIF('SL bán theo ngày'!$A$9:$A$82,"?*"),INDEX('SL bán theo ngày'!AE$9:AE$82,ROWS($A$11:$A74)),"")</f>
        <v/>
      </c>
      <c r="AC74" s="49" t="str">
        <f t="array" aca="1" ref="AC74" ca="1">IF(ROWS($A$11:$A74)&lt;=COUNTIF('SL bán theo ngày'!$A$9:$A$82,"?*"),INDEX('SL bán theo ngày'!AF$9:AF$82,ROWS($A$11:$A74)),"")</f>
        <v/>
      </c>
      <c r="AD74" s="49" t="str">
        <f t="array" aca="1" ref="AD74" ca="1">IF(ROWS($A$11:$A74)&lt;=COUNTIF('SL bán theo ngày'!$A$9:$A$82,"?*"),INDEX('SL bán theo ngày'!AG$9:AG$82,ROWS($A$11:$A74)),"")</f>
        <v/>
      </c>
      <c r="AE74" s="49" t="str">
        <f t="array" aca="1" ref="AE74" ca="1">IF(ROWS($A$11:$A74)&lt;=COUNTIF('SL bán theo ngày'!$A$9:$A$82,"?*"),INDEX('SL bán theo ngày'!AH$9:AH$82,ROWS($A$11:$A74)),"")</f>
        <v/>
      </c>
      <c r="AF74" s="49" t="str">
        <f t="array" aca="1" ref="AF74" ca="1">IF(ROWS($A$11:$A74)&lt;=COUNTIF('SL bán theo ngày'!$A$9:$A$82,"?*"),INDEX('SL bán theo ngày'!AI$9:AI$82,ROWS($A$11:$A74)),"")</f>
        <v/>
      </c>
      <c r="AG74" s="49" t="str">
        <f t="array" aca="1" ref="AG74" ca="1">IF(ROWS($A$11:$A74)&lt;=COUNTIF('SL bán theo ngày'!$A$9:$A$82,"?*"),INDEX('SL bán theo ngày'!C$9:C$82,ROWS($A$11:$A74)),"")</f>
        <v/>
      </c>
      <c r="AH74" s="74" t="str">
        <f t="array" aca="1" ref="AH74" ca="1">IF(ROWS($A$11:$A74)&lt;=COUNTIF('SL bán theo ngày'!$A$9:$A$82,"?*"),INDEX('SL bán theo ngày'!D$9:D$82,ROWS($A$11:$A74)),"")</f>
        <v/>
      </c>
      <c r="AI74" s="49" t="str">
        <f t="array" aca="1" ref="AI74" ca="1">IF(ROWS($A$11:$A74)&lt;=COUNTIF('SL bán theo ngày'!$A$9:$A$82,"?*"),INDEX('SL bán theo ngày'!E$9:E$82,ROWS($A$11:$A74)),"")</f>
        <v/>
      </c>
      <c r="AJ74" s="49" t="str">
        <f t="array" aca="1" ref="AJ74" ca="1">IF(ROWS($A$11:$A74)&lt;=COUNTIF('SL bán theo ngày'!$A$9:$A$82,"?*"),INDEX('SL bán theo ngày'!AJ$9:AJ$82,ROWS($A$11:$A74)),"")</f>
        <v/>
      </c>
      <c r="AK74" s="49" t="str">
        <f t="array" aca="1" ref="AK74" ca="1">IF(ROWS($A$11:$A74)&lt;=COUNTIF('SL bán theo ngày'!$A$9:$A$82,"?*"),INDEX('SL bán theo ngày'!AK$9:AK$82,ROWS($A$11:$A74)),"")</f>
        <v/>
      </c>
    </row>
    <row r="75" spans="1:37" ht="15.75" customHeight="1" x14ac:dyDescent="0.25">
      <c r="A75" s="33" t="str">
        <f t="array" aca="1" ref="A75" ca="1">IF(ROWS($A$11:$A75)&lt;=COUNTIF('SL bán theo ngày'!$A$9:$A$82,"?*"),INDEX('SL bán theo ngày'!A$9:A$82,ROWS($A$11:$A75)),"")</f>
        <v/>
      </c>
      <c r="B75" s="37" t="str">
        <f t="array" aca="1" ref="B75" ca="1">IF(ROWS($A$11:$A75)&lt;=COUNTIF('SL bán theo ngày'!$A$9:$A$82,"?*"),INDEX('SL bán theo ngày'!B$9:B$82,ROWS($A$11:$A75)),"")</f>
        <v/>
      </c>
      <c r="C75" s="79" t="str">
        <f t="array" aca="1" ref="C75" ca="1">IF(ROWS($A$11:$A75)&lt;=COUNTIF('SL bán theo ngày'!$A$9:$A$82,"?*"),INDEX('SL bán theo ngày'!F$9:F$82,ROWS($A$11:$A75)),"")</f>
        <v/>
      </c>
      <c r="D75" s="49" t="str">
        <f t="array" aca="1" ref="D75" ca="1">IF(ROWS($A$11:$A75)&lt;=COUNTIF('SL bán theo ngày'!$A$9:$A$82,"?*"),INDEX('SL bán theo ngày'!G$9:G$82,ROWS($A$11:$A75)),"")</f>
        <v/>
      </c>
      <c r="E75" s="49" t="str">
        <f t="array" aca="1" ref="E75" ca="1">IF(ROWS($A$11:$A75)&lt;=COUNTIF('SL bán theo ngày'!$A$9:$A$82,"?*"),INDEX('SL bán theo ngày'!H$9:H$82,ROWS($A$11:$A75)),"")</f>
        <v/>
      </c>
      <c r="F75" s="49" t="str">
        <f t="array" aca="1" ref="F75" ca="1">IF(ROWS($A$11:$A75)&lt;=COUNTIF('SL bán theo ngày'!$A$9:$A$82,"?*"),INDEX('SL bán theo ngày'!I$9:I$82,ROWS($A$11:$A75)),"")</f>
        <v/>
      </c>
      <c r="G75" s="49" t="str">
        <f t="array" aca="1" ref="G75" ca="1">IF(ROWS($A$11:$A75)&lt;=COUNTIF('SL bán theo ngày'!$A$9:$A$82,"?*"),INDEX('SL bán theo ngày'!J$9:J$82,ROWS($A$11:$A75)),"")</f>
        <v/>
      </c>
      <c r="H75" s="49" t="str">
        <f t="array" aca="1" ref="H75" ca="1">IF(ROWS($A$11:$A75)&lt;=COUNTIF('SL bán theo ngày'!$A$9:$A$82,"?*"),INDEX('SL bán theo ngày'!K$9:K$82,ROWS($A$11:$A75)),"")</f>
        <v/>
      </c>
      <c r="I75" s="49" t="str">
        <f t="array" aca="1" ref="I75" ca="1">IF(ROWS($A$11:$A75)&lt;=COUNTIF('SL bán theo ngày'!$A$9:$A$82,"?*"),INDEX('SL bán theo ngày'!L$9:L$82,ROWS($A$11:$A75)),"")</f>
        <v/>
      </c>
      <c r="J75" s="49" t="str">
        <f t="array" aca="1" ref="J75" ca="1">IF(ROWS($A$11:$A75)&lt;=COUNTIF('SL bán theo ngày'!$A$9:$A$82,"?*"),INDEX('SL bán theo ngày'!M$9:M$82,ROWS($A$11:$A75)),"")</f>
        <v/>
      </c>
      <c r="K75" s="49" t="str">
        <f t="array" aca="1" ref="K75" ca="1">IF(ROWS($A$11:$A75)&lt;=COUNTIF('SL bán theo ngày'!$A$9:$A$82,"?*"),INDEX('SL bán theo ngày'!N$9:N$82,ROWS($A$11:$A75)),"")</f>
        <v/>
      </c>
      <c r="L75" s="49" t="str">
        <f t="array" aca="1" ref="L75" ca="1">IF(ROWS($A$11:$A75)&lt;=COUNTIF('SL bán theo ngày'!$A$9:$A$82,"?*"),INDEX('SL bán theo ngày'!O$9:O$82,ROWS($A$11:$A75)),"")</f>
        <v/>
      </c>
      <c r="M75" s="49" t="str">
        <f t="array" aca="1" ref="M75" ca="1">IF(ROWS($A$11:$A75)&lt;=COUNTIF('SL bán theo ngày'!$A$9:$A$82,"?*"),INDEX('SL bán theo ngày'!P$9:P$82,ROWS($A$11:$A75)),"")</f>
        <v/>
      </c>
      <c r="N75" s="49" t="str">
        <f t="array" aca="1" ref="N75" ca="1">IF(ROWS($A$11:$A75)&lt;=COUNTIF('SL bán theo ngày'!$A$9:$A$82,"?*"),INDEX('SL bán theo ngày'!Q$9:Q$82,ROWS($A$11:$A75)),"")</f>
        <v/>
      </c>
      <c r="O75" s="49" t="str">
        <f t="array" aca="1" ref="O75" ca="1">IF(ROWS($A$11:$A75)&lt;=COUNTIF('SL bán theo ngày'!$A$9:$A$82,"?*"),INDEX('SL bán theo ngày'!R$9:R$82,ROWS($A$11:$A75)),"")</f>
        <v/>
      </c>
      <c r="P75" s="49" t="str">
        <f t="array" aca="1" ref="P75" ca="1">IF(ROWS($A$11:$A75)&lt;=COUNTIF('SL bán theo ngày'!$A$9:$A$82,"?*"),INDEX('SL bán theo ngày'!S$9:S$82,ROWS($A$11:$A75)),"")</f>
        <v/>
      </c>
      <c r="Q75" s="49" t="str">
        <f t="array" aca="1" ref="Q75" ca="1">IF(ROWS($A$11:$A75)&lt;=COUNTIF('SL bán theo ngày'!$A$9:$A$82,"?*"),INDEX('SL bán theo ngày'!T$9:T$82,ROWS($A$11:$A75)),"")</f>
        <v/>
      </c>
      <c r="R75" s="49" t="str">
        <f t="array" aca="1" ref="R75" ca="1">IF(ROWS($A$11:$A75)&lt;=COUNTIF('SL bán theo ngày'!$A$9:$A$82,"?*"),INDEX('SL bán theo ngày'!U$9:U$82,ROWS($A$11:$A75)),"")</f>
        <v/>
      </c>
      <c r="S75" s="49" t="str">
        <f t="array" aca="1" ref="S75" ca="1">IF(ROWS($A$11:$A75)&lt;=COUNTIF('SL bán theo ngày'!$A$9:$A$82,"?*"),INDEX('SL bán theo ngày'!V$9:V$82,ROWS($A$11:$A75)),"")</f>
        <v/>
      </c>
      <c r="T75" s="49" t="str">
        <f t="array" aca="1" ref="T75" ca="1">IF(ROWS($A$11:$A75)&lt;=COUNTIF('SL bán theo ngày'!$A$9:$A$82,"?*"),INDEX('SL bán theo ngày'!W$9:W$82,ROWS($A$11:$A75)),"")</f>
        <v/>
      </c>
      <c r="U75" s="49" t="str">
        <f t="array" aca="1" ref="U75" ca="1">IF(ROWS($A$11:$A75)&lt;=COUNTIF('SL bán theo ngày'!$A$9:$A$82,"?*"),INDEX('SL bán theo ngày'!X$9:X$82,ROWS($A$11:$A75)),"")</f>
        <v/>
      </c>
      <c r="V75" s="49" t="str">
        <f t="array" aca="1" ref="V75" ca="1">IF(ROWS($A$11:$A75)&lt;=COUNTIF('SL bán theo ngày'!$A$9:$A$82,"?*"),INDEX('SL bán theo ngày'!Y$9:Y$82,ROWS($A$11:$A75)),"")</f>
        <v/>
      </c>
      <c r="W75" s="49" t="str">
        <f t="array" aca="1" ref="W75" ca="1">IF(ROWS($A$11:$A75)&lt;=COUNTIF('SL bán theo ngày'!$A$9:$A$82,"?*"),INDEX('SL bán theo ngày'!Z$9:Z$82,ROWS($A$11:$A75)),"")</f>
        <v/>
      </c>
      <c r="X75" s="49" t="str">
        <f t="array" aca="1" ref="X75" ca="1">IF(ROWS($A$11:$A75)&lt;=COUNTIF('SL bán theo ngày'!$A$9:$A$82,"?*"),INDEX('SL bán theo ngày'!AA$9:AA$82,ROWS($A$11:$A75)),"")</f>
        <v/>
      </c>
      <c r="Y75" s="49" t="str">
        <f t="array" aca="1" ref="Y75" ca="1">IF(ROWS($A$11:$A75)&lt;=COUNTIF('SL bán theo ngày'!$A$9:$A$82,"?*"),INDEX('SL bán theo ngày'!AB$9:AB$82,ROWS($A$11:$A75)),"")</f>
        <v/>
      </c>
      <c r="Z75" s="49" t="str">
        <f t="array" aca="1" ref="Z75" ca="1">IF(ROWS($A$11:$A75)&lt;=COUNTIF('SL bán theo ngày'!$A$9:$A$82,"?*"),INDEX('SL bán theo ngày'!AC$9:AC$82,ROWS($A$11:$A75)),"")</f>
        <v/>
      </c>
      <c r="AA75" s="49" t="str">
        <f t="array" aca="1" ref="AA75" ca="1">IF(ROWS($A$11:$A75)&lt;=COUNTIF('SL bán theo ngày'!$A$9:$A$82,"?*"),INDEX('SL bán theo ngày'!AD$9:AD$82,ROWS($A$11:$A75)),"")</f>
        <v/>
      </c>
      <c r="AB75" s="49" t="str">
        <f t="array" aca="1" ref="AB75" ca="1">IF(ROWS($A$11:$A75)&lt;=COUNTIF('SL bán theo ngày'!$A$9:$A$82,"?*"),INDEX('SL bán theo ngày'!AE$9:AE$82,ROWS($A$11:$A75)),"")</f>
        <v/>
      </c>
      <c r="AC75" s="49" t="str">
        <f t="array" aca="1" ref="AC75" ca="1">IF(ROWS($A$11:$A75)&lt;=COUNTIF('SL bán theo ngày'!$A$9:$A$82,"?*"),INDEX('SL bán theo ngày'!AF$9:AF$82,ROWS($A$11:$A75)),"")</f>
        <v/>
      </c>
      <c r="AD75" s="49" t="str">
        <f t="array" aca="1" ref="AD75" ca="1">IF(ROWS($A$11:$A75)&lt;=COUNTIF('SL bán theo ngày'!$A$9:$A$82,"?*"),INDEX('SL bán theo ngày'!AG$9:AG$82,ROWS($A$11:$A75)),"")</f>
        <v/>
      </c>
      <c r="AE75" s="49" t="str">
        <f t="array" aca="1" ref="AE75" ca="1">IF(ROWS($A$11:$A75)&lt;=COUNTIF('SL bán theo ngày'!$A$9:$A$82,"?*"),INDEX('SL bán theo ngày'!AH$9:AH$82,ROWS($A$11:$A75)),"")</f>
        <v/>
      </c>
      <c r="AF75" s="49" t="str">
        <f t="array" aca="1" ref="AF75" ca="1">IF(ROWS($A$11:$A75)&lt;=COUNTIF('SL bán theo ngày'!$A$9:$A$82,"?*"),INDEX('SL bán theo ngày'!AI$9:AI$82,ROWS($A$11:$A75)),"")</f>
        <v/>
      </c>
      <c r="AG75" s="49" t="str">
        <f t="array" aca="1" ref="AG75" ca="1">IF(ROWS($A$11:$A75)&lt;=COUNTIF('SL bán theo ngày'!$A$9:$A$82,"?*"),INDEX('SL bán theo ngày'!C$9:C$82,ROWS($A$11:$A75)),"")</f>
        <v/>
      </c>
      <c r="AH75" s="74" t="str">
        <f t="array" aca="1" ref="AH75" ca="1">IF(ROWS($A$11:$A75)&lt;=COUNTIF('SL bán theo ngày'!$A$9:$A$82,"?*"),INDEX('SL bán theo ngày'!D$9:D$82,ROWS($A$11:$A75)),"")</f>
        <v/>
      </c>
      <c r="AI75" s="49" t="str">
        <f t="array" aca="1" ref="AI75" ca="1">IF(ROWS($A$11:$A75)&lt;=COUNTIF('SL bán theo ngày'!$A$9:$A$82,"?*"),INDEX('SL bán theo ngày'!E$9:E$82,ROWS($A$11:$A75)),"")</f>
        <v/>
      </c>
      <c r="AJ75" s="49" t="str">
        <f t="array" aca="1" ref="AJ75" ca="1">IF(ROWS($A$11:$A75)&lt;=COUNTIF('SL bán theo ngày'!$A$9:$A$82,"?*"),INDEX('SL bán theo ngày'!AJ$9:AJ$82,ROWS($A$11:$A75)),"")</f>
        <v/>
      </c>
      <c r="AK75" s="49" t="str">
        <f t="array" aca="1" ref="AK75" ca="1">IF(ROWS($A$11:$A75)&lt;=COUNTIF('SL bán theo ngày'!$A$9:$A$82,"?*"),INDEX('SL bán theo ngày'!AK$9:AK$82,ROWS($A$11:$A75)),"")</f>
        <v/>
      </c>
    </row>
    <row r="76" spans="1:37" ht="15.75" customHeight="1" x14ac:dyDescent="0.25">
      <c r="A76" s="33" t="str">
        <f t="array" aca="1" ref="A76" ca="1">IF(ROWS($A$11:$A76)&lt;=COUNTIF('SL bán theo ngày'!$A$9:$A$82,"?*"),INDEX('SL bán theo ngày'!A$9:A$82,ROWS($A$11:$A76)),"")</f>
        <v/>
      </c>
      <c r="B76" s="37" t="str">
        <f t="array" aca="1" ref="B76" ca="1">IF(ROWS($A$11:$A76)&lt;=COUNTIF('SL bán theo ngày'!$A$9:$A$82,"?*"),INDEX('SL bán theo ngày'!B$9:B$82,ROWS($A$11:$A76)),"")</f>
        <v/>
      </c>
      <c r="C76" s="79" t="str">
        <f t="array" aca="1" ref="C76" ca="1">IF(ROWS($A$11:$A76)&lt;=COUNTIF('SL bán theo ngày'!$A$9:$A$82,"?*"),INDEX('SL bán theo ngày'!F$9:F$82,ROWS($A$11:$A76)),"")</f>
        <v/>
      </c>
      <c r="D76" s="49" t="str">
        <f t="array" aca="1" ref="D76" ca="1">IF(ROWS($A$11:$A76)&lt;=COUNTIF('SL bán theo ngày'!$A$9:$A$82,"?*"),INDEX('SL bán theo ngày'!G$9:G$82,ROWS($A$11:$A76)),"")</f>
        <v/>
      </c>
      <c r="E76" s="49" t="str">
        <f t="array" aca="1" ref="E76" ca="1">IF(ROWS($A$11:$A76)&lt;=COUNTIF('SL bán theo ngày'!$A$9:$A$82,"?*"),INDEX('SL bán theo ngày'!H$9:H$82,ROWS($A$11:$A76)),"")</f>
        <v/>
      </c>
      <c r="F76" s="49" t="str">
        <f t="array" aca="1" ref="F76" ca="1">IF(ROWS($A$11:$A76)&lt;=COUNTIF('SL bán theo ngày'!$A$9:$A$82,"?*"),INDEX('SL bán theo ngày'!I$9:I$82,ROWS($A$11:$A76)),"")</f>
        <v/>
      </c>
      <c r="G76" s="49" t="str">
        <f t="array" aca="1" ref="G76" ca="1">IF(ROWS($A$11:$A76)&lt;=COUNTIF('SL bán theo ngày'!$A$9:$A$82,"?*"),INDEX('SL bán theo ngày'!J$9:J$82,ROWS($A$11:$A76)),"")</f>
        <v/>
      </c>
      <c r="H76" s="49" t="str">
        <f t="array" aca="1" ref="H76" ca="1">IF(ROWS($A$11:$A76)&lt;=COUNTIF('SL bán theo ngày'!$A$9:$A$82,"?*"),INDEX('SL bán theo ngày'!K$9:K$82,ROWS($A$11:$A76)),"")</f>
        <v/>
      </c>
      <c r="I76" s="49" t="str">
        <f t="array" aca="1" ref="I76" ca="1">IF(ROWS($A$11:$A76)&lt;=COUNTIF('SL bán theo ngày'!$A$9:$A$82,"?*"),INDEX('SL bán theo ngày'!L$9:L$82,ROWS($A$11:$A76)),"")</f>
        <v/>
      </c>
      <c r="J76" s="49" t="str">
        <f t="array" aca="1" ref="J76" ca="1">IF(ROWS($A$11:$A76)&lt;=COUNTIF('SL bán theo ngày'!$A$9:$A$82,"?*"),INDEX('SL bán theo ngày'!M$9:M$82,ROWS($A$11:$A76)),"")</f>
        <v/>
      </c>
      <c r="K76" s="49" t="str">
        <f t="array" aca="1" ref="K76" ca="1">IF(ROWS($A$11:$A76)&lt;=COUNTIF('SL bán theo ngày'!$A$9:$A$82,"?*"),INDEX('SL bán theo ngày'!N$9:N$82,ROWS($A$11:$A76)),"")</f>
        <v/>
      </c>
      <c r="L76" s="49" t="str">
        <f t="array" aca="1" ref="L76" ca="1">IF(ROWS($A$11:$A76)&lt;=COUNTIF('SL bán theo ngày'!$A$9:$A$82,"?*"),INDEX('SL bán theo ngày'!O$9:O$82,ROWS($A$11:$A76)),"")</f>
        <v/>
      </c>
      <c r="M76" s="49" t="str">
        <f t="array" aca="1" ref="M76" ca="1">IF(ROWS($A$11:$A76)&lt;=COUNTIF('SL bán theo ngày'!$A$9:$A$82,"?*"),INDEX('SL bán theo ngày'!P$9:P$82,ROWS($A$11:$A76)),"")</f>
        <v/>
      </c>
      <c r="N76" s="49" t="str">
        <f t="array" aca="1" ref="N76" ca="1">IF(ROWS($A$11:$A76)&lt;=COUNTIF('SL bán theo ngày'!$A$9:$A$82,"?*"),INDEX('SL bán theo ngày'!Q$9:Q$82,ROWS($A$11:$A76)),"")</f>
        <v/>
      </c>
      <c r="O76" s="49" t="str">
        <f t="array" aca="1" ref="O76" ca="1">IF(ROWS($A$11:$A76)&lt;=COUNTIF('SL bán theo ngày'!$A$9:$A$82,"?*"),INDEX('SL bán theo ngày'!R$9:R$82,ROWS($A$11:$A76)),"")</f>
        <v/>
      </c>
      <c r="P76" s="49" t="str">
        <f t="array" aca="1" ref="P76" ca="1">IF(ROWS($A$11:$A76)&lt;=COUNTIF('SL bán theo ngày'!$A$9:$A$82,"?*"),INDEX('SL bán theo ngày'!S$9:S$82,ROWS($A$11:$A76)),"")</f>
        <v/>
      </c>
      <c r="Q76" s="49" t="str">
        <f t="array" aca="1" ref="Q76" ca="1">IF(ROWS($A$11:$A76)&lt;=COUNTIF('SL bán theo ngày'!$A$9:$A$82,"?*"),INDEX('SL bán theo ngày'!T$9:T$82,ROWS($A$11:$A76)),"")</f>
        <v/>
      </c>
      <c r="R76" s="49" t="str">
        <f t="array" aca="1" ref="R76" ca="1">IF(ROWS($A$11:$A76)&lt;=COUNTIF('SL bán theo ngày'!$A$9:$A$82,"?*"),INDEX('SL bán theo ngày'!U$9:U$82,ROWS($A$11:$A76)),"")</f>
        <v/>
      </c>
      <c r="S76" s="49" t="str">
        <f t="array" aca="1" ref="S76" ca="1">IF(ROWS($A$11:$A76)&lt;=COUNTIF('SL bán theo ngày'!$A$9:$A$82,"?*"),INDEX('SL bán theo ngày'!V$9:V$82,ROWS($A$11:$A76)),"")</f>
        <v/>
      </c>
      <c r="T76" s="49" t="str">
        <f t="array" aca="1" ref="T76" ca="1">IF(ROWS($A$11:$A76)&lt;=COUNTIF('SL bán theo ngày'!$A$9:$A$82,"?*"),INDEX('SL bán theo ngày'!W$9:W$82,ROWS($A$11:$A76)),"")</f>
        <v/>
      </c>
      <c r="U76" s="49" t="str">
        <f t="array" aca="1" ref="U76" ca="1">IF(ROWS($A$11:$A76)&lt;=COUNTIF('SL bán theo ngày'!$A$9:$A$82,"?*"),INDEX('SL bán theo ngày'!X$9:X$82,ROWS($A$11:$A76)),"")</f>
        <v/>
      </c>
      <c r="V76" s="49" t="str">
        <f t="array" aca="1" ref="V76" ca="1">IF(ROWS($A$11:$A76)&lt;=COUNTIF('SL bán theo ngày'!$A$9:$A$82,"?*"),INDEX('SL bán theo ngày'!Y$9:Y$82,ROWS($A$11:$A76)),"")</f>
        <v/>
      </c>
      <c r="W76" s="49" t="str">
        <f t="array" aca="1" ref="W76" ca="1">IF(ROWS($A$11:$A76)&lt;=COUNTIF('SL bán theo ngày'!$A$9:$A$82,"?*"),INDEX('SL bán theo ngày'!Z$9:Z$82,ROWS($A$11:$A76)),"")</f>
        <v/>
      </c>
      <c r="X76" s="49" t="str">
        <f t="array" aca="1" ref="X76" ca="1">IF(ROWS($A$11:$A76)&lt;=COUNTIF('SL bán theo ngày'!$A$9:$A$82,"?*"),INDEX('SL bán theo ngày'!AA$9:AA$82,ROWS($A$11:$A76)),"")</f>
        <v/>
      </c>
      <c r="Y76" s="49" t="str">
        <f t="array" aca="1" ref="Y76" ca="1">IF(ROWS($A$11:$A76)&lt;=COUNTIF('SL bán theo ngày'!$A$9:$A$82,"?*"),INDEX('SL bán theo ngày'!AB$9:AB$82,ROWS($A$11:$A76)),"")</f>
        <v/>
      </c>
      <c r="Z76" s="49" t="str">
        <f t="array" aca="1" ref="Z76" ca="1">IF(ROWS($A$11:$A76)&lt;=COUNTIF('SL bán theo ngày'!$A$9:$A$82,"?*"),INDEX('SL bán theo ngày'!AC$9:AC$82,ROWS($A$11:$A76)),"")</f>
        <v/>
      </c>
      <c r="AA76" s="49" t="str">
        <f t="array" aca="1" ref="AA76" ca="1">IF(ROWS($A$11:$A76)&lt;=COUNTIF('SL bán theo ngày'!$A$9:$A$82,"?*"),INDEX('SL bán theo ngày'!AD$9:AD$82,ROWS($A$11:$A76)),"")</f>
        <v/>
      </c>
      <c r="AB76" s="49" t="str">
        <f t="array" aca="1" ref="AB76" ca="1">IF(ROWS($A$11:$A76)&lt;=COUNTIF('SL bán theo ngày'!$A$9:$A$82,"?*"),INDEX('SL bán theo ngày'!AE$9:AE$82,ROWS($A$11:$A76)),"")</f>
        <v/>
      </c>
      <c r="AC76" s="49" t="str">
        <f t="array" aca="1" ref="AC76" ca="1">IF(ROWS($A$11:$A76)&lt;=COUNTIF('SL bán theo ngày'!$A$9:$A$82,"?*"),INDEX('SL bán theo ngày'!AF$9:AF$82,ROWS($A$11:$A76)),"")</f>
        <v/>
      </c>
      <c r="AD76" s="49" t="str">
        <f t="array" aca="1" ref="AD76" ca="1">IF(ROWS($A$11:$A76)&lt;=COUNTIF('SL bán theo ngày'!$A$9:$A$82,"?*"),INDEX('SL bán theo ngày'!AG$9:AG$82,ROWS($A$11:$A76)),"")</f>
        <v/>
      </c>
      <c r="AE76" s="49" t="str">
        <f t="array" aca="1" ref="AE76" ca="1">IF(ROWS($A$11:$A76)&lt;=COUNTIF('SL bán theo ngày'!$A$9:$A$82,"?*"),INDEX('SL bán theo ngày'!AH$9:AH$82,ROWS($A$11:$A76)),"")</f>
        <v/>
      </c>
      <c r="AF76" s="49" t="str">
        <f t="array" aca="1" ref="AF76" ca="1">IF(ROWS($A$11:$A76)&lt;=COUNTIF('SL bán theo ngày'!$A$9:$A$82,"?*"),INDEX('SL bán theo ngày'!AI$9:AI$82,ROWS($A$11:$A76)),"")</f>
        <v/>
      </c>
      <c r="AG76" s="49" t="str">
        <f t="array" aca="1" ref="AG76" ca="1">IF(ROWS($A$11:$A76)&lt;=COUNTIF('SL bán theo ngày'!$A$9:$A$82,"?*"),INDEX('SL bán theo ngày'!C$9:C$82,ROWS($A$11:$A76)),"")</f>
        <v/>
      </c>
      <c r="AH76" s="74" t="str">
        <f t="array" aca="1" ref="AH76" ca="1">IF(ROWS($A$11:$A76)&lt;=COUNTIF('SL bán theo ngày'!$A$9:$A$82,"?*"),INDEX('SL bán theo ngày'!D$9:D$82,ROWS($A$11:$A76)),"")</f>
        <v/>
      </c>
      <c r="AI76" s="49" t="str">
        <f t="array" aca="1" ref="AI76" ca="1">IF(ROWS($A$11:$A76)&lt;=COUNTIF('SL bán theo ngày'!$A$9:$A$82,"?*"),INDEX('SL bán theo ngày'!E$9:E$82,ROWS($A$11:$A76)),"")</f>
        <v/>
      </c>
      <c r="AJ76" s="49" t="str">
        <f t="array" aca="1" ref="AJ76" ca="1">IF(ROWS($A$11:$A76)&lt;=COUNTIF('SL bán theo ngày'!$A$9:$A$82,"?*"),INDEX('SL bán theo ngày'!AJ$9:AJ$82,ROWS($A$11:$A76)),"")</f>
        <v/>
      </c>
      <c r="AK76" s="49" t="str">
        <f t="array" aca="1" ref="AK76" ca="1">IF(ROWS($A$11:$A76)&lt;=COUNTIF('SL bán theo ngày'!$A$9:$A$82,"?*"),INDEX('SL bán theo ngày'!AK$9:AK$82,ROWS($A$11:$A76)),"")</f>
        <v/>
      </c>
    </row>
    <row r="77" spans="1:37" ht="15.75" customHeight="1" x14ac:dyDescent="0.25">
      <c r="A77" s="33" t="str">
        <f t="array" aca="1" ref="A77" ca="1">IF(ROWS($A$11:$A77)&lt;=COUNTIF('SL bán theo ngày'!$A$9:$A$82,"?*"),INDEX('SL bán theo ngày'!A$9:A$82,ROWS($A$11:$A77)),"")</f>
        <v/>
      </c>
      <c r="B77" s="37" t="str">
        <f t="array" aca="1" ref="B77" ca="1">IF(ROWS($A$11:$A77)&lt;=COUNTIF('SL bán theo ngày'!$A$9:$A$82,"?*"),INDEX('SL bán theo ngày'!B$9:B$82,ROWS($A$11:$A77)),"")</f>
        <v/>
      </c>
      <c r="C77" s="79" t="str">
        <f t="array" aca="1" ref="C77" ca="1">IF(ROWS($A$11:$A77)&lt;=COUNTIF('SL bán theo ngày'!$A$9:$A$82,"?*"),INDEX('SL bán theo ngày'!F$9:F$82,ROWS($A$11:$A77)),"")</f>
        <v/>
      </c>
      <c r="D77" s="49" t="str">
        <f t="array" aca="1" ref="D77" ca="1">IF(ROWS($A$11:$A77)&lt;=COUNTIF('SL bán theo ngày'!$A$9:$A$82,"?*"),INDEX('SL bán theo ngày'!G$9:G$82,ROWS($A$11:$A77)),"")</f>
        <v/>
      </c>
      <c r="E77" s="49" t="str">
        <f t="array" aca="1" ref="E77" ca="1">IF(ROWS($A$11:$A77)&lt;=COUNTIF('SL bán theo ngày'!$A$9:$A$82,"?*"),INDEX('SL bán theo ngày'!H$9:H$82,ROWS($A$11:$A77)),"")</f>
        <v/>
      </c>
      <c r="F77" s="49" t="str">
        <f t="array" aca="1" ref="F77" ca="1">IF(ROWS($A$11:$A77)&lt;=COUNTIF('SL bán theo ngày'!$A$9:$A$82,"?*"),INDEX('SL bán theo ngày'!I$9:I$82,ROWS($A$11:$A77)),"")</f>
        <v/>
      </c>
      <c r="G77" s="49" t="str">
        <f t="array" aca="1" ref="G77" ca="1">IF(ROWS($A$11:$A77)&lt;=COUNTIF('SL bán theo ngày'!$A$9:$A$82,"?*"),INDEX('SL bán theo ngày'!J$9:J$82,ROWS($A$11:$A77)),"")</f>
        <v/>
      </c>
      <c r="H77" s="49" t="str">
        <f t="array" aca="1" ref="H77" ca="1">IF(ROWS($A$11:$A77)&lt;=COUNTIF('SL bán theo ngày'!$A$9:$A$82,"?*"),INDEX('SL bán theo ngày'!K$9:K$82,ROWS($A$11:$A77)),"")</f>
        <v/>
      </c>
      <c r="I77" s="49" t="str">
        <f t="array" aca="1" ref="I77" ca="1">IF(ROWS($A$11:$A77)&lt;=COUNTIF('SL bán theo ngày'!$A$9:$A$82,"?*"),INDEX('SL bán theo ngày'!L$9:L$82,ROWS($A$11:$A77)),"")</f>
        <v/>
      </c>
      <c r="J77" s="49" t="str">
        <f t="array" aca="1" ref="J77" ca="1">IF(ROWS($A$11:$A77)&lt;=COUNTIF('SL bán theo ngày'!$A$9:$A$82,"?*"),INDEX('SL bán theo ngày'!M$9:M$82,ROWS($A$11:$A77)),"")</f>
        <v/>
      </c>
      <c r="K77" s="49" t="str">
        <f t="array" aca="1" ref="K77" ca="1">IF(ROWS($A$11:$A77)&lt;=COUNTIF('SL bán theo ngày'!$A$9:$A$82,"?*"),INDEX('SL bán theo ngày'!N$9:N$82,ROWS($A$11:$A77)),"")</f>
        <v/>
      </c>
      <c r="L77" s="49" t="str">
        <f t="array" aca="1" ref="L77" ca="1">IF(ROWS($A$11:$A77)&lt;=COUNTIF('SL bán theo ngày'!$A$9:$A$82,"?*"),INDEX('SL bán theo ngày'!O$9:O$82,ROWS($A$11:$A77)),"")</f>
        <v/>
      </c>
      <c r="M77" s="49" t="str">
        <f t="array" aca="1" ref="M77" ca="1">IF(ROWS($A$11:$A77)&lt;=COUNTIF('SL bán theo ngày'!$A$9:$A$82,"?*"),INDEX('SL bán theo ngày'!P$9:P$82,ROWS($A$11:$A77)),"")</f>
        <v/>
      </c>
      <c r="N77" s="49" t="str">
        <f t="array" aca="1" ref="N77" ca="1">IF(ROWS($A$11:$A77)&lt;=COUNTIF('SL bán theo ngày'!$A$9:$A$82,"?*"),INDEX('SL bán theo ngày'!Q$9:Q$82,ROWS($A$11:$A77)),"")</f>
        <v/>
      </c>
      <c r="O77" s="49" t="str">
        <f t="array" aca="1" ref="O77" ca="1">IF(ROWS($A$11:$A77)&lt;=COUNTIF('SL bán theo ngày'!$A$9:$A$82,"?*"),INDEX('SL bán theo ngày'!R$9:R$82,ROWS($A$11:$A77)),"")</f>
        <v/>
      </c>
      <c r="P77" s="49" t="str">
        <f t="array" aca="1" ref="P77" ca="1">IF(ROWS($A$11:$A77)&lt;=COUNTIF('SL bán theo ngày'!$A$9:$A$82,"?*"),INDEX('SL bán theo ngày'!S$9:S$82,ROWS($A$11:$A77)),"")</f>
        <v/>
      </c>
      <c r="Q77" s="49" t="str">
        <f t="array" aca="1" ref="Q77" ca="1">IF(ROWS($A$11:$A77)&lt;=COUNTIF('SL bán theo ngày'!$A$9:$A$82,"?*"),INDEX('SL bán theo ngày'!T$9:T$82,ROWS($A$11:$A77)),"")</f>
        <v/>
      </c>
      <c r="R77" s="49" t="str">
        <f t="array" aca="1" ref="R77" ca="1">IF(ROWS($A$11:$A77)&lt;=COUNTIF('SL bán theo ngày'!$A$9:$A$82,"?*"),INDEX('SL bán theo ngày'!U$9:U$82,ROWS($A$11:$A77)),"")</f>
        <v/>
      </c>
      <c r="S77" s="49" t="str">
        <f t="array" aca="1" ref="S77" ca="1">IF(ROWS($A$11:$A77)&lt;=COUNTIF('SL bán theo ngày'!$A$9:$A$82,"?*"),INDEX('SL bán theo ngày'!V$9:V$82,ROWS($A$11:$A77)),"")</f>
        <v/>
      </c>
      <c r="T77" s="49" t="str">
        <f t="array" aca="1" ref="T77" ca="1">IF(ROWS($A$11:$A77)&lt;=COUNTIF('SL bán theo ngày'!$A$9:$A$82,"?*"),INDEX('SL bán theo ngày'!W$9:W$82,ROWS($A$11:$A77)),"")</f>
        <v/>
      </c>
      <c r="U77" s="49" t="str">
        <f t="array" aca="1" ref="U77" ca="1">IF(ROWS($A$11:$A77)&lt;=COUNTIF('SL bán theo ngày'!$A$9:$A$82,"?*"),INDEX('SL bán theo ngày'!X$9:X$82,ROWS($A$11:$A77)),"")</f>
        <v/>
      </c>
      <c r="V77" s="49" t="str">
        <f t="array" aca="1" ref="V77" ca="1">IF(ROWS($A$11:$A77)&lt;=COUNTIF('SL bán theo ngày'!$A$9:$A$82,"?*"),INDEX('SL bán theo ngày'!Y$9:Y$82,ROWS($A$11:$A77)),"")</f>
        <v/>
      </c>
      <c r="W77" s="49" t="str">
        <f t="array" aca="1" ref="W77" ca="1">IF(ROWS($A$11:$A77)&lt;=COUNTIF('SL bán theo ngày'!$A$9:$A$82,"?*"),INDEX('SL bán theo ngày'!Z$9:Z$82,ROWS($A$11:$A77)),"")</f>
        <v/>
      </c>
      <c r="X77" s="49" t="str">
        <f t="array" aca="1" ref="X77" ca="1">IF(ROWS($A$11:$A77)&lt;=COUNTIF('SL bán theo ngày'!$A$9:$A$82,"?*"),INDEX('SL bán theo ngày'!AA$9:AA$82,ROWS($A$11:$A77)),"")</f>
        <v/>
      </c>
      <c r="Y77" s="49" t="str">
        <f t="array" aca="1" ref="Y77" ca="1">IF(ROWS($A$11:$A77)&lt;=COUNTIF('SL bán theo ngày'!$A$9:$A$82,"?*"),INDEX('SL bán theo ngày'!AB$9:AB$82,ROWS($A$11:$A77)),"")</f>
        <v/>
      </c>
      <c r="Z77" s="49" t="str">
        <f t="array" aca="1" ref="Z77" ca="1">IF(ROWS($A$11:$A77)&lt;=COUNTIF('SL bán theo ngày'!$A$9:$A$82,"?*"),INDEX('SL bán theo ngày'!AC$9:AC$82,ROWS($A$11:$A77)),"")</f>
        <v/>
      </c>
      <c r="AA77" s="49" t="str">
        <f t="array" aca="1" ref="AA77" ca="1">IF(ROWS($A$11:$A77)&lt;=COUNTIF('SL bán theo ngày'!$A$9:$A$82,"?*"),INDEX('SL bán theo ngày'!AD$9:AD$82,ROWS($A$11:$A77)),"")</f>
        <v/>
      </c>
      <c r="AB77" s="49" t="str">
        <f t="array" aca="1" ref="AB77" ca="1">IF(ROWS($A$11:$A77)&lt;=COUNTIF('SL bán theo ngày'!$A$9:$A$82,"?*"),INDEX('SL bán theo ngày'!AE$9:AE$82,ROWS($A$11:$A77)),"")</f>
        <v/>
      </c>
      <c r="AC77" s="49" t="str">
        <f t="array" aca="1" ref="AC77" ca="1">IF(ROWS($A$11:$A77)&lt;=COUNTIF('SL bán theo ngày'!$A$9:$A$82,"?*"),INDEX('SL bán theo ngày'!AF$9:AF$82,ROWS($A$11:$A77)),"")</f>
        <v/>
      </c>
      <c r="AD77" s="49" t="str">
        <f t="array" aca="1" ref="AD77" ca="1">IF(ROWS($A$11:$A77)&lt;=COUNTIF('SL bán theo ngày'!$A$9:$A$82,"?*"),INDEX('SL bán theo ngày'!AG$9:AG$82,ROWS($A$11:$A77)),"")</f>
        <v/>
      </c>
      <c r="AE77" s="49" t="str">
        <f t="array" aca="1" ref="AE77" ca="1">IF(ROWS($A$11:$A77)&lt;=COUNTIF('SL bán theo ngày'!$A$9:$A$82,"?*"),INDEX('SL bán theo ngày'!AH$9:AH$82,ROWS($A$11:$A77)),"")</f>
        <v/>
      </c>
      <c r="AF77" s="49" t="str">
        <f t="array" aca="1" ref="AF77" ca="1">IF(ROWS($A$11:$A77)&lt;=COUNTIF('SL bán theo ngày'!$A$9:$A$82,"?*"),INDEX('SL bán theo ngày'!AI$9:AI$82,ROWS($A$11:$A77)),"")</f>
        <v/>
      </c>
      <c r="AG77" s="49" t="str">
        <f t="array" aca="1" ref="AG77" ca="1">IF(ROWS($A$11:$A77)&lt;=COUNTIF('SL bán theo ngày'!$A$9:$A$82,"?*"),INDEX('SL bán theo ngày'!C$9:C$82,ROWS($A$11:$A77)),"")</f>
        <v/>
      </c>
      <c r="AH77" s="74" t="str">
        <f t="array" aca="1" ref="AH77" ca="1">IF(ROWS($A$11:$A77)&lt;=COUNTIF('SL bán theo ngày'!$A$9:$A$82,"?*"),INDEX('SL bán theo ngày'!D$9:D$82,ROWS($A$11:$A77)),"")</f>
        <v/>
      </c>
      <c r="AI77" s="49" t="str">
        <f t="array" aca="1" ref="AI77" ca="1">IF(ROWS($A$11:$A77)&lt;=COUNTIF('SL bán theo ngày'!$A$9:$A$82,"?*"),INDEX('SL bán theo ngày'!E$9:E$82,ROWS($A$11:$A77)),"")</f>
        <v/>
      </c>
      <c r="AJ77" s="49" t="str">
        <f t="array" aca="1" ref="AJ77" ca="1">IF(ROWS($A$11:$A77)&lt;=COUNTIF('SL bán theo ngày'!$A$9:$A$82,"?*"),INDEX('SL bán theo ngày'!AJ$9:AJ$82,ROWS($A$11:$A77)),"")</f>
        <v/>
      </c>
      <c r="AK77" s="49" t="str">
        <f t="array" aca="1" ref="AK77" ca="1">IF(ROWS($A$11:$A77)&lt;=COUNTIF('SL bán theo ngày'!$A$9:$A$82,"?*"),INDEX('SL bán theo ngày'!AK$9:AK$82,ROWS($A$11:$A77)),"")</f>
        <v/>
      </c>
    </row>
    <row r="78" spans="1:37" ht="15.75" customHeight="1" x14ac:dyDescent="0.25">
      <c r="A78" s="33" t="str">
        <f t="array" aca="1" ref="A78" ca="1">IF(ROWS($A$11:$A78)&lt;=COUNTIF('SL bán theo ngày'!$A$9:$A$82,"?*"),INDEX('SL bán theo ngày'!A$9:A$82,ROWS($A$11:$A78)),"")</f>
        <v/>
      </c>
      <c r="B78" s="37" t="str">
        <f t="array" aca="1" ref="B78" ca="1">IF(ROWS($A$11:$A78)&lt;=COUNTIF('SL bán theo ngày'!$A$9:$A$82,"?*"),INDEX('SL bán theo ngày'!B$9:B$82,ROWS($A$11:$A78)),"")</f>
        <v/>
      </c>
      <c r="C78" s="79" t="str">
        <f t="array" aca="1" ref="C78" ca="1">IF(ROWS($A$11:$A78)&lt;=COUNTIF('SL bán theo ngày'!$A$9:$A$82,"?*"),INDEX('SL bán theo ngày'!F$9:F$82,ROWS($A$11:$A78)),"")</f>
        <v/>
      </c>
      <c r="D78" s="49" t="str">
        <f t="array" aca="1" ref="D78" ca="1">IF(ROWS($A$11:$A78)&lt;=COUNTIF('SL bán theo ngày'!$A$9:$A$82,"?*"),INDEX('SL bán theo ngày'!G$9:G$82,ROWS($A$11:$A78)),"")</f>
        <v/>
      </c>
      <c r="E78" s="49" t="str">
        <f t="array" aca="1" ref="E78" ca="1">IF(ROWS($A$11:$A78)&lt;=COUNTIF('SL bán theo ngày'!$A$9:$A$82,"?*"),INDEX('SL bán theo ngày'!H$9:H$82,ROWS($A$11:$A78)),"")</f>
        <v/>
      </c>
      <c r="F78" s="49" t="str">
        <f t="array" aca="1" ref="F78" ca="1">IF(ROWS($A$11:$A78)&lt;=COUNTIF('SL bán theo ngày'!$A$9:$A$82,"?*"),INDEX('SL bán theo ngày'!I$9:I$82,ROWS($A$11:$A78)),"")</f>
        <v/>
      </c>
      <c r="G78" s="49" t="str">
        <f t="array" aca="1" ref="G78" ca="1">IF(ROWS($A$11:$A78)&lt;=COUNTIF('SL bán theo ngày'!$A$9:$A$82,"?*"),INDEX('SL bán theo ngày'!J$9:J$82,ROWS($A$11:$A78)),"")</f>
        <v/>
      </c>
      <c r="H78" s="49" t="str">
        <f t="array" aca="1" ref="H78" ca="1">IF(ROWS($A$11:$A78)&lt;=COUNTIF('SL bán theo ngày'!$A$9:$A$82,"?*"),INDEX('SL bán theo ngày'!K$9:K$82,ROWS($A$11:$A78)),"")</f>
        <v/>
      </c>
      <c r="I78" s="49" t="str">
        <f t="array" aca="1" ref="I78" ca="1">IF(ROWS($A$11:$A78)&lt;=COUNTIF('SL bán theo ngày'!$A$9:$A$82,"?*"),INDEX('SL bán theo ngày'!L$9:L$82,ROWS($A$11:$A78)),"")</f>
        <v/>
      </c>
      <c r="J78" s="49" t="str">
        <f t="array" aca="1" ref="J78" ca="1">IF(ROWS($A$11:$A78)&lt;=COUNTIF('SL bán theo ngày'!$A$9:$A$82,"?*"),INDEX('SL bán theo ngày'!M$9:M$82,ROWS($A$11:$A78)),"")</f>
        <v/>
      </c>
      <c r="K78" s="49" t="str">
        <f t="array" aca="1" ref="K78" ca="1">IF(ROWS($A$11:$A78)&lt;=COUNTIF('SL bán theo ngày'!$A$9:$A$82,"?*"),INDEX('SL bán theo ngày'!N$9:N$82,ROWS($A$11:$A78)),"")</f>
        <v/>
      </c>
      <c r="L78" s="49" t="str">
        <f t="array" aca="1" ref="L78" ca="1">IF(ROWS($A$11:$A78)&lt;=COUNTIF('SL bán theo ngày'!$A$9:$A$82,"?*"),INDEX('SL bán theo ngày'!O$9:O$82,ROWS($A$11:$A78)),"")</f>
        <v/>
      </c>
      <c r="M78" s="49" t="str">
        <f t="array" aca="1" ref="M78" ca="1">IF(ROWS($A$11:$A78)&lt;=COUNTIF('SL bán theo ngày'!$A$9:$A$82,"?*"),INDEX('SL bán theo ngày'!P$9:P$82,ROWS($A$11:$A78)),"")</f>
        <v/>
      </c>
      <c r="N78" s="49" t="str">
        <f t="array" aca="1" ref="N78" ca="1">IF(ROWS($A$11:$A78)&lt;=COUNTIF('SL bán theo ngày'!$A$9:$A$82,"?*"),INDEX('SL bán theo ngày'!Q$9:Q$82,ROWS($A$11:$A78)),"")</f>
        <v/>
      </c>
      <c r="O78" s="49" t="str">
        <f t="array" aca="1" ref="O78" ca="1">IF(ROWS($A$11:$A78)&lt;=COUNTIF('SL bán theo ngày'!$A$9:$A$82,"?*"),INDEX('SL bán theo ngày'!R$9:R$82,ROWS($A$11:$A78)),"")</f>
        <v/>
      </c>
      <c r="P78" s="49" t="str">
        <f t="array" aca="1" ref="P78" ca="1">IF(ROWS($A$11:$A78)&lt;=COUNTIF('SL bán theo ngày'!$A$9:$A$82,"?*"),INDEX('SL bán theo ngày'!S$9:S$82,ROWS($A$11:$A78)),"")</f>
        <v/>
      </c>
      <c r="Q78" s="49" t="str">
        <f t="array" aca="1" ref="Q78" ca="1">IF(ROWS($A$11:$A78)&lt;=COUNTIF('SL bán theo ngày'!$A$9:$A$82,"?*"),INDEX('SL bán theo ngày'!T$9:T$82,ROWS($A$11:$A78)),"")</f>
        <v/>
      </c>
      <c r="R78" s="49" t="str">
        <f t="array" aca="1" ref="R78" ca="1">IF(ROWS($A$11:$A78)&lt;=COUNTIF('SL bán theo ngày'!$A$9:$A$82,"?*"),INDEX('SL bán theo ngày'!U$9:U$82,ROWS($A$11:$A78)),"")</f>
        <v/>
      </c>
      <c r="S78" s="49" t="str">
        <f t="array" aca="1" ref="S78" ca="1">IF(ROWS($A$11:$A78)&lt;=COUNTIF('SL bán theo ngày'!$A$9:$A$82,"?*"),INDEX('SL bán theo ngày'!V$9:V$82,ROWS($A$11:$A78)),"")</f>
        <v/>
      </c>
      <c r="T78" s="49" t="str">
        <f t="array" aca="1" ref="T78" ca="1">IF(ROWS($A$11:$A78)&lt;=COUNTIF('SL bán theo ngày'!$A$9:$A$82,"?*"),INDEX('SL bán theo ngày'!W$9:W$82,ROWS($A$11:$A78)),"")</f>
        <v/>
      </c>
      <c r="U78" s="49" t="str">
        <f t="array" aca="1" ref="U78" ca="1">IF(ROWS($A$11:$A78)&lt;=COUNTIF('SL bán theo ngày'!$A$9:$A$82,"?*"),INDEX('SL bán theo ngày'!X$9:X$82,ROWS($A$11:$A78)),"")</f>
        <v/>
      </c>
      <c r="V78" s="49" t="str">
        <f t="array" aca="1" ref="V78" ca="1">IF(ROWS($A$11:$A78)&lt;=COUNTIF('SL bán theo ngày'!$A$9:$A$82,"?*"),INDEX('SL bán theo ngày'!Y$9:Y$82,ROWS($A$11:$A78)),"")</f>
        <v/>
      </c>
      <c r="W78" s="49" t="str">
        <f t="array" aca="1" ref="W78" ca="1">IF(ROWS($A$11:$A78)&lt;=COUNTIF('SL bán theo ngày'!$A$9:$A$82,"?*"),INDEX('SL bán theo ngày'!Z$9:Z$82,ROWS($A$11:$A78)),"")</f>
        <v/>
      </c>
      <c r="X78" s="49" t="str">
        <f t="array" aca="1" ref="X78" ca="1">IF(ROWS($A$11:$A78)&lt;=COUNTIF('SL bán theo ngày'!$A$9:$A$82,"?*"),INDEX('SL bán theo ngày'!AA$9:AA$82,ROWS($A$11:$A78)),"")</f>
        <v/>
      </c>
      <c r="Y78" s="49" t="str">
        <f t="array" aca="1" ref="Y78" ca="1">IF(ROWS($A$11:$A78)&lt;=COUNTIF('SL bán theo ngày'!$A$9:$A$82,"?*"),INDEX('SL bán theo ngày'!AB$9:AB$82,ROWS($A$11:$A78)),"")</f>
        <v/>
      </c>
      <c r="Z78" s="49" t="str">
        <f t="array" aca="1" ref="Z78" ca="1">IF(ROWS($A$11:$A78)&lt;=COUNTIF('SL bán theo ngày'!$A$9:$A$82,"?*"),INDEX('SL bán theo ngày'!AC$9:AC$82,ROWS($A$11:$A78)),"")</f>
        <v/>
      </c>
      <c r="AA78" s="49" t="str">
        <f t="array" aca="1" ref="AA78" ca="1">IF(ROWS($A$11:$A78)&lt;=COUNTIF('SL bán theo ngày'!$A$9:$A$82,"?*"),INDEX('SL bán theo ngày'!AD$9:AD$82,ROWS($A$11:$A78)),"")</f>
        <v/>
      </c>
      <c r="AB78" s="49" t="str">
        <f t="array" aca="1" ref="AB78" ca="1">IF(ROWS($A$11:$A78)&lt;=COUNTIF('SL bán theo ngày'!$A$9:$A$82,"?*"),INDEX('SL bán theo ngày'!AE$9:AE$82,ROWS($A$11:$A78)),"")</f>
        <v/>
      </c>
      <c r="AC78" s="49" t="str">
        <f t="array" aca="1" ref="AC78" ca="1">IF(ROWS($A$11:$A78)&lt;=COUNTIF('SL bán theo ngày'!$A$9:$A$82,"?*"),INDEX('SL bán theo ngày'!AF$9:AF$82,ROWS($A$11:$A78)),"")</f>
        <v/>
      </c>
      <c r="AD78" s="49" t="str">
        <f t="array" aca="1" ref="AD78" ca="1">IF(ROWS($A$11:$A78)&lt;=COUNTIF('SL bán theo ngày'!$A$9:$A$82,"?*"),INDEX('SL bán theo ngày'!AG$9:AG$82,ROWS($A$11:$A78)),"")</f>
        <v/>
      </c>
      <c r="AE78" s="49" t="str">
        <f t="array" aca="1" ref="AE78" ca="1">IF(ROWS($A$11:$A78)&lt;=COUNTIF('SL bán theo ngày'!$A$9:$A$82,"?*"),INDEX('SL bán theo ngày'!AH$9:AH$82,ROWS($A$11:$A78)),"")</f>
        <v/>
      </c>
      <c r="AF78" s="49" t="str">
        <f t="array" aca="1" ref="AF78" ca="1">IF(ROWS($A$11:$A78)&lt;=COUNTIF('SL bán theo ngày'!$A$9:$A$82,"?*"),INDEX('SL bán theo ngày'!AI$9:AI$82,ROWS($A$11:$A78)),"")</f>
        <v/>
      </c>
      <c r="AG78" s="49" t="str">
        <f t="array" aca="1" ref="AG78" ca="1">IF(ROWS($A$11:$A78)&lt;=COUNTIF('SL bán theo ngày'!$A$9:$A$82,"?*"),INDEX('SL bán theo ngày'!C$9:C$82,ROWS($A$11:$A78)),"")</f>
        <v/>
      </c>
      <c r="AH78" s="74" t="str">
        <f t="array" aca="1" ref="AH78" ca="1">IF(ROWS($A$11:$A78)&lt;=COUNTIF('SL bán theo ngày'!$A$9:$A$82,"?*"),INDEX('SL bán theo ngày'!D$9:D$82,ROWS($A$11:$A78)),"")</f>
        <v/>
      </c>
      <c r="AI78" s="49" t="str">
        <f t="array" aca="1" ref="AI78" ca="1">IF(ROWS($A$11:$A78)&lt;=COUNTIF('SL bán theo ngày'!$A$9:$A$82,"?*"),INDEX('SL bán theo ngày'!E$9:E$82,ROWS($A$11:$A78)),"")</f>
        <v/>
      </c>
      <c r="AJ78" s="49" t="str">
        <f t="array" aca="1" ref="AJ78" ca="1">IF(ROWS($A$11:$A78)&lt;=COUNTIF('SL bán theo ngày'!$A$9:$A$82,"?*"),INDEX('SL bán theo ngày'!AJ$9:AJ$82,ROWS($A$11:$A78)),"")</f>
        <v/>
      </c>
      <c r="AK78" s="49" t="str">
        <f t="array" aca="1" ref="AK78" ca="1">IF(ROWS($A$11:$A78)&lt;=COUNTIF('SL bán theo ngày'!$A$9:$A$82,"?*"),INDEX('SL bán theo ngày'!AK$9:AK$82,ROWS($A$11:$A78)),"")</f>
        <v/>
      </c>
    </row>
    <row r="79" spans="1:37" ht="15.75" customHeight="1" x14ac:dyDescent="0.25">
      <c r="A79" s="33" t="str">
        <f t="array" aca="1" ref="A79" ca="1">IF(ROWS($A$11:$A79)&lt;=COUNTIF('SL bán theo ngày'!$A$9:$A$82,"?*"),INDEX('SL bán theo ngày'!A$9:A$82,ROWS($A$11:$A79)),"")</f>
        <v/>
      </c>
      <c r="B79" s="37" t="str">
        <f t="array" aca="1" ref="B79" ca="1">IF(ROWS($A$11:$A79)&lt;=COUNTIF('SL bán theo ngày'!$A$9:$A$82,"?*"),INDEX('SL bán theo ngày'!B$9:B$82,ROWS($A$11:$A79)),"")</f>
        <v/>
      </c>
      <c r="C79" s="79" t="str">
        <f t="array" aca="1" ref="C79" ca="1">IF(ROWS($A$11:$A79)&lt;=COUNTIF('SL bán theo ngày'!$A$9:$A$82,"?*"),INDEX('SL bán theo ngày'!F$9:F$82,ROWS($A$11:$A79)),"")</f>
        <v/>
      </c>
      <c r="D79" s="49" t="str">
        <f t="array" aca="1" ref="D79" ca="1">IF(ROWS($A$11:$A79)&lt;=COUNTIF('SL bán theo ngày'!$A$9:$A$82,"?*"),INDEX('SL bán theo ngày'!G$9:G$82,ROWS($A$11:$A79)),"")</f>
        <v/>
      </c>
      <c r="E79" s="49" t="str">
        <f t="array" aca="1" ref="E79" ca="1">IF(ROWS($A$11:$A79)&lt;=COUNTIF('SL bán theo ngày'!$A$9:$A$82,"?*"),INDEX('SL bán theo ngày'!H$9:H$82,ROWS($A$11:$A79)),"")</f>
        <v/>
      </c>
      <c r="F79" s="49" t="str">
        <f t="array" aca="1" ref="F79" ca="1">IF(ROWS($A$11:$A79)&lt;=COUNTIF('SL bán theo ngày'!$A$9:$A$82,"?*"),INDEX('SL bán theo ngày'!I$9:I$82,ROWS($A$11:$A79)),"")</f>
        <v/>
      </c>
      <c r="G79" s="49" t="str">
        <f t="array" aca="1" ref="G79" ca="1">IF(ROWS($A$11:$A79)&lt;=COUNTIF('SL bán theo ngày'!$A$9:$A$82,"?*"),INDEX('SL bán theo ngày'!J$9:J$82,ROWS($A$11:$A79)),"")</f>
        <v/>
      </c>
      <c r="H79" s="49" t="str">
        <f t="array" aca="1" ref="H79" ca="1">IF(ROWS($A$11:$A79)&lt;=COUNTIF('SL bán theo ngày'!$A$9:$A$82,"?*"),INDEX('SL bán theo ngày'!K$9:K$82,ROWS($A$11:$A79)),"")</f>
        <v/>
      </c>
      <c r="I79" s="49" t="str">
        <f t="array" aca="1" ref="I79" ca="1">IF(ROWS($A$11:$A79)&lt;=COUNTIF('SL bán theo ngày'!$A$9:$A$82,"?*"),INDEX('SL bán theo ngày'!L$9:L$82,ROWS($A$11:$A79)),"")</f>
        <v/>
      </c>
      <c r="J79" s="49" t="str">
        <f t="array" aca="1" ref="J79" ca="1">IF(ROWS($A$11:$A79)&lt;=COUNTIF('SL bán theo ngày'!$A$9:$A$82,"?*"),INDEX('SL bán theo ngày'!M$9:M$82,ROWS($A$11:$A79)),"")</f>
        <v/>
      </c>
      <c r="K79" s="49" t="str">
        <f t="array" aca="1" ref="K79" ca="1">IF(ROWS($A$11:$A79)&lt;=COUNTIF('SL bán theo ngày'!$A$9:$A$82,"?*"),INDEX('SL bán theo ngày'!N$9:N$82,ROWS($A$11:$A79)),"")</f>
        <v/>
      </c>
      <c r="L79" s="49" t="str">
        <f t="array" aca="1" ref="L79" ca="1">IF(ROWS($A$11:$A79)&lt;=COUNTIF('SL bán theo ngày'!$A$9:$A$82,"?*"),INDEX('SL bán theo ngày'!O$9:O$82,ROWS($A$11:$A79)),"")</f>
        <v/>
      </c>
      <c r="M79" s="49" t="str">
        <f t="array" aca="1" ref="M79" ca="1">IF(ROWS($A$11:$A79)&lt;=COUNTIF('SL bán theo ngày'!$A$9:$A$82,"?*"),INDEX('SL bán theo ngày'!P$9:P$82,ROWS($A$11:$A79)),"")</f>
        <v/>
      </c>
      <c r="N79" s="49" t="str">
        <f t="array" aca="1" ref="N79" ca="1">IF(ROWS($A$11:$A79)&lt;=COUNTIF('SL bán theo ngày'!$A$9:$A$82,"?*"),INDEX('SL bán theo ngày'!Q$9:Q$82,ROWS($A$11:$A79)),"")</f>
        <v/>
      </c>
      <c r="O79" s="49" t="str">
        <f t="array" aca="1" ref="O79" ca="1">IF(ROWS($A$11:$A79)&lt;=COUNTIF('SL bán theo ngày'!$A$9:$A$82,"?*"),INDEX('SL bán theo ngày'!R$9:R$82,ROWS($A$11:$A79)),"")</f>
        <v/>
      </c>
      <c r="P79" s="49" t="str">
        <f t="array" aca="1" ref="P79" ca="1">IF(ROWS($A$11:$A79)&lt;=COUNTIF('SL bán theo ngày'!$A$9:$A$82,"?*"),INDEX('SL bán theo ngày'!S$9:S$82,ROWS($A$11:$A79)),"")</f>
        <v/>
      </c>
      <c r="Q79" s="49" t="str">
        <f t="array" aca="1" ref="Q79" ca="1">IF(ROWS($A$11:$A79)&lt;=COUNTIF('SL bán theo ngày'!$A$9:$A$82,"?*"),INDEX('SL bán theo ngày'!T$9:T$82,ROWS($A$11:$A79)),"")</f>
        <v/>
      </c>
      <c r="R79" s="49" t="str">
        <f t="array" aca="1" ref="R79" ca="1">IF(ROWS($A$11:$A79)&lt;=COUNTIF('SL bán theo ngày'!$A$9:$A$82,"?*"),INDEX('SL bán theo ngày'!U$9:U$82,ROWS($A$11:$A79)),"")</f>
        <v/>
      </c>
      <c r="S79" s="49" t="str">
        <f t="array" aca="1" ref="S79" ca="1">IF(ROWS($A$11:$A79)&lt;=COUNTIF('SL bán theo ngày'!$A$9:$A$82,"?*"),INDEX('SL bán theo ngày'!V$9:V$82,ROWS($A$11:$A79)),"")</f>
        <v/>
      </c>
      <c r="T79" s="49" t="str">
        <f t="array" aca="1" ref="T79" ca="1">IF(ROWS($A$11:$A79)&lt;=COUNTIF('SL bán theo ngày'!$A$9:$A$82,"?*"),INDEX('SL bán theo ngày'!W$9:W$82,ROWS($A$11:$A79)),"")</f>
        <v/>
      </c>
      <c r="U79" s="49" t="str">
        <f t="array" aca="1" ref="U79" ca="1">IF(ROWS($A$11:$A79)&lt;=COUNTIF('SL bán theo ngày'!$A$9:$A$82,"?*"),INDEX('SL bán theo ngày'!X$9:X$82,ROWS($A$11:$A79)),"")</f>
        <v/>
      </c>
      <c r="V79" s="49" t="str">
        <f t="array" aca="1" ref="V79" ca="1">IF(ROWS($A$11:$A79)&lt;=COUNTIF('SL bán theo ngày'!$A$9:$A$82,"?*"),INDEX('SL bán theo ngày'!Y$9:Y$82,ROWS($A$11:$A79)),"")</f>
        <v/>
      </c>
      <c r="W79" s="49" t="str">
        <f t="array" aca="1" ref="W79" ca="1">IF(ROWS($A$11:$A79)&lt;=COUNTIF('SL bán theo ngày'!$A$9:$A$82,"?*"),INDEX('SL bán theo ngày'!Z$9:Z$82,ROWS($A$11:$A79)),"")</f>
        <v/>
      </c>
      <c r="X79" s="49" t="str">
        <f t="array" aca="1" ref="X79" ca="1">IF(ROWS($A$11:$A79)&lt;=COUNTIF('SL bán theo ngày'!$A$9:$A$82,"?*"),INDEX('SL bán theo ngày'!AA$9:AA$82,ROWS($A$11:$A79)),"")</f>
        <v/>
      </c>
      <c r="Y79" s="49" t="str">
        <f t="array" aca="1" ref="Y79" ca="1">IF(ROWS($A$11:$A79)&lt;=COUNTIF('SL bán theo ngày'!$A$9:$A$82,"?*"),INDEX('SL bán theo ngày'!AB$9:AB$82,ROWS($A$11:$A79)),"")</f>
        <v/>
      </c>
      <c r="Z79" s="49" t="str">
        <f t="array" aca="1" ref="Z79" ca="1">IF(ROWS($A$11:$A79)&lt;=COUNTIF('SL bán theo ngày'!$A$9:$A$82,"?*"),INDEX('SL bán theo ngày'!AC$9:AC$82,ROWS($A$11:$A79)),"")</f>
        <v/>
      </c>
      <c r="AA79" s="49" t="str">
        <f t="array" aca="1" ref="AA79" ca="1">IF(ROWS($A$11:$A79)&lt;=COUNTIF('SL bán theo ngày'!$A$9:$A$82,"?*"),INDEX('SL bán theo ngày'!AD$9:AD$82,ROWS($A$11:$A79)),"")</f>
        <v/>
      </c>
      <c r="AB79" s="49" t="str">
        <f t="array" aca="1" ref="AB79" ca="1">IF(ROWS($A$11:$A79)&lt;=COUNTIF('SL bán theo ngày'!$A$9:$A$82,"?*"),INDEX('SL bán theo ngày'!AE$9:AE$82,ROWS($A$11:$A79)),"")</f>
        <v/>
      </c>
      <c r="AC79" s="49" t="str">
        <f t="array" aca="1" ref="AC79" ca="1">IF(ROWS($A$11:$A79)&lt;=COUNTIF('SL bán theo ngày'!$A$9:$A$82,"?*"),INDEX('SL bán theo ngày'!AF$9:AF$82,ROWS($A$11:$A79)),"")</f>
        <v/>
      </c>
      <c r="AD79" s="49" t="str">
        <f t="array" aca="1" ref="AD79" ca="1">IF(ROWS($A$11:$A79)&lt;=COUNTIF('SL bán theo ngày'!$A$9:$A$82,"?*"),INDEX('SL bán theo ngày'!AG$9:AG$82,ROWS($A$11:$A79)),"")</f>
        <v/>
      </c>
      <c r="AE79" s="49" t="str">
        <f t="array" aca="1" ref="AE79" ca="1">IF(ROWS($A$11:$A79)&lt;=COUNTIF('SL bán theo ngày'!$A$9:$A$82,"?*"),INDEX('SL bán theo ngày'!AH$9:AH$82,ROWS($A$11:$A79)),"")</f>
        <v/>
      </c>
      <c r="AF79" s="49" t="str">
        <f t="array" aca="1" ref="AF79" ca="1">IF(ROWS($A$11:$A79)&lt;=COUNTIF('SL bán theo ngày'!$A$9:$A$82,"?*"),INDEX('SL bán theo ngày'!AI$9:AI$82,ROWS($A$11:$A79)),"")</f>
        <v/>
      </c>
      <c r="AG79" s="49" t="str">
        <f t="array" aca="1" ref="AG79" ca="1">IF(ROWS($A$11:$A79)&lt;=COUNTIF('SL bán theo ngày'!$A$9:$A$82,"?*"),INDEX('SL bán theo ngày'!C$9:C$82,ROWS($A$11:$A79)),"")</f>
        <v/>
      </c>
      <c r="AH79" s="74" t="str">
        <f t="array" aca="1" ref="AH79" ca="1">IF(ROWS($A$11:$A79)&lt;=COUNTIF('SL bán theo ngày'!$A$9:$A$82,"?*"),INDEX('SL bán theo ngày'!D$9:D$82,ROWS($A$11:$A79)),"")</f>
        <v/>
      </c>
      <c r="AI79" s="49" t="str">
        <f t="array" aca="1" ref="AI79" ca="1">IF(ROWS($A$11:$A79)&lt;=COUNTIF('SL bán theo ngày'!$A$9:$A$82,"?*"),INDEX('SL bán theo ngày'!E$9:E$82,ROWS($A$11:$A79)),"")</f>
        <v/>
      </c>
      <c r="AJ79" s="49" t="str">
        <f t="array" aca="1" ref="AJ79" ca="1">IF(ROWS($A$11:$A79)&lt;=COUNTIF('SL bán theo ngày'!$A$9:$A$82,"?*"),INDEX('SL bán theo ngày'!AJ$9:AJ$82,ROWS($A$11:$A79)),"")</f>
        <v/>
      </c>
      <c r="AK79" s="49" t="str">
        <f t="array" aca="1" ref="AK79" ca="1">IF(ROWS($A$11:$A79)&lt;=COUNTIF('SL bán theo ngày'!$A$9:$A$82,"?*"),INDEX('SL bán theo ngày'!AK$9:AK$82,ROWS($A$11:$A79)),"")</f>
        <v/>
      </c>
    </row>
    <row r="80" spans="1:37" ht="15.75" customHeight="1" x14ac:dyDescent="0.25">
      <c r="A80" s="33" t="str">
        <f t="array" aca="1" ref="A80" ca="1">IF(ROWS($A$11:$A80)&lt;=COUNTIF('SL bán theo ngày'!$A$9:$A$82,"?*"),INDEX('SL bán theo ngày'!A$9:A$82,ROWS($A$11:$A80)),"")</f>
        <v/>
      </c>
      <c r="B80" s="37" t="str">
        <f t="array" aca="1" ref="B80" ca="1">IF(ROWS($A$11:$A80)&lt;=COUNTIF('SL bán theo ngày'!$A$9:$A$82,"?*"),INDEX('SL bán theo ngày'!B$9:B$82,ROWS($A$11:$A80)),"")</f>
        <v/>
      </c>
      <c r="C80" s="79" t="str">
        <f t="array" aca="1" ref="C80" ca="1">IF(ROWS($A$11:$A80)&lt;=COUNTIF('SL bán theo ngày'!$A$9:$A$82,"?*"),INDEX('SL bán theo ngày'!F$9:F$82,ROWS($A$11:$A80)),"")</f>
        <v/>
      </c>
      <c r="D80" s="49" t="str">
        <f t="array" aca="1" ref="D80" ca="1">IF(ROWS($A$11:$A80)&lt;=COUNTIF('SL bán theo ngày'!$A$9:$A$82,"?*"),INDEX('SL bán theo ngày'!G$9:G$82,ROWS($A$11:$A80)),"")</f>
        <v/>
      </c>
      <c r="E80" s="49" t="str">
        <f t="array" aca="1" ref="E80" ca="1">IF(ROWS($A$11:$A80)&lt;=COUNTIF('SL bán theo ngày'!$A$9:$A$82,"?*"),INDEX('SL bán theo ngày'!H$9:H$82,ROWS($A$11:$A80)),"")</f>
        <v/>
      </c>
      <c r="F80" s="49" t="str">
        <f t="array" aca="1" ref="F80" ca="1">IF(ROWS($A$11:$A80)&lt;=COUNTIF('SL bán theo ngày'!$A$9:$A$82,"?*"),INDEX('SL bán theo ngày'!I$9:I$82,ROWS($A$11:$A80)),"")</f>
        <v/>
      </c>
      <c r="G80" s="49" t="str">
        <f t="array" aca="1" ref="G80" ca="1">IF(ROWS($A$11:$A80)&lt;=COUNTIF('SL bán theo ngày'!$A$9:$A$82,"?*"),INDEX('SL bán theo ngày'!J$9:J$82,ROWS($A$11:$A80)),"")</f>
        <v/>
      </c>
      <c r="H80" s="49" t="str">
        <f t="array" aca="1" ref="H80" ca="1">IF(ROWS($A$11:$A80)&lt;=COUNTIF('SL bán theo ngày'!$A$9:$A$82,"?*"),INDEX('SL bán theo ngày'!K$9:K$82,ROWS($A$11:$A80)),"")</f>
        <v/>
      </c>
      <c r="I80" s="49" t="str">
        <f t="array" aca="1" ref="I80" ca="1">IF(ROWS($A$11:$A80)&lt;=COUNTIF('SL bán theo ngày'!$A$9:$A$82,"?*"),INDEX('SL bán theo ngày'!L$9:L$82,ROWS($A$11:$A80)),"")</f>
        <v/>
      </c>
      <c r="J80" s="49" t="str">
        <f t="array" aca="1" ref="J80" ca="1">IF(ROWS($A$11:$A80)&lt;=COUNTIF('SL bán theo ngày'!$A$9:$A$82,"?*"),INDEX('SL bán theo ngày'!M$9:M$82,ROWS($A$11:$A80)),"")</f>
        <v/>
      </c>
      <c r="K80" s="49" t="str">
        <f t="array" aca="1" ref="K80" ca="1">IF(ROWS($A$11:$A80)&lt;=COUNTIF('SL bán theo ngày'!$A$9:$A$82,"?*"),INDEX('SL bán theo ngày'!N$9:N$82,ROWS($A$11:$A80)),"")</f>
        <v/>
      </c>
      <c r="L80" s="49" t="str">
        <f t="array" aca="1" ref="L80" ca="1">IF(ROWS($A$11:$A80)&lt;=COUNTIF('SL bán theo ngày'!$A$9:$A$82,"?*"),INDEX('SL bán theo ngày'!O$9:O$82,ROWS($A$11:$A80)),"")</f>
        <v/>
      </c>
      <c r="M80" s="49" t="str">
        <f t="array" aca="1" ref="M80" ca="1">IF(ROWS($A$11:$A80)&lt;=COUNTIF('SL bán theo ngày'!$A$9:$A$82,"?*"),INDEX('SL bán theo ngày'!P$9:P$82,ROWS($A$11:$A80)),"")</f>
        <v/>
      </c>
      <c r="N80" s="49" t="str">
        <f t="array" aca="1" ref="N80" ca="1">IF(ROWS($A$11:$A80)&lt;=COUNTIF('SL bán theo ngày'!$A$9:$A$82,"?*"),INDEX('SL bán theo ngày'!Q$9:Q$82,ROWS($A$11:$A80)),"")</f>
        <v/>
      </c>
      <c r="O80" s="49" t="str">
        <f t="array" aca="1" ref="O80" ca="1">IF(ROWS($A$11:$A80)&lt;=COUNTIF('SL bán theo ngày'!$A$9:$A$82,"?*"),INDEX('SL bán theo ngày'!R$9:R$82,ROWS($A$11:$A80)),"")</f>
        <v/>
      </c>
      <c r="P80" s="49" t="str">
        <f t="array" aca="1" ref="P80" ca="1">IF(ROWS($A$11:$A80)&lt;=COUNTIF('SL bán theo ngày'!$A$9:$A$82,"?*"),INDEX('SL bán theo ngày'!S$9:S$82,ROWS($A$11:$A80)),"")</f>
        <v/>
      </c>
      <c r="Q80" s="49" t="str">
        <f t="array" aca="1" ref="Q80" ca="1">IF(ROWS($A$11:$A80)&lt;=COUNTIF('SL bán theo ngày'!$A$9:$A$82,"?*"),INDEX('SL bán theo ngày'!T$9:T$82,ROWS($A$11:$A80)),"")</f>
        <v/>
      </c>
      <c r="R80" s="49" t="str">
        <f t="array" aca="1" ref="R80" ca="1">IF(ROWS($A$11:$A80)&lt;=COUNTIF('SL bán theo ngày'!$A$9:$A$82,"?*"),INDEX('SL bán theo ngày'!U$9:U$82,ROWS($A$11:$A80)),"")</f>
        <v/>
      </c>
      <c r="S80" s="49" t="str">
        <f t="array" aca="1" ref="S80" ca="1">IF(ROWS($A$11:$A80)&lt;=COUNTIF('SL bán theo ngày'!$A$9:$A$82,"?*"),INDEX('SL bán theo ngày'!V$9:V$82,ROWS($A$11:$A80)),"")</f>
        <v/>
      </c>
      <c r="T80" s="49" t="str">
        <f t="array" aca="1" ref="T80" ca="1">IF(ROWS($A$11:$A80)&lt;=COUNTIF('SL bán theo ngày'!$A$9:$A$82,"?*"),INDEX('SL bán theo ngày'!W$9:W$82,ROWS($A$11:$A80)),"")</f>
        <v/>
      </c>
      <c r="U80" s="49" t="str">
        <f t="array" aca="1" ref="U80" ca="1">IF(ROWS($A$11:$A80)&lt;=COUNTIF('SL bán theo ngày'!$A$9:$A$82,"?*"),INDEX('SL bán theo ngày'!X$9:X$82,ROWS($A$11:$A80)),"")</f>
        <v/>
      </c>
      <c r="V80" s="49" t="str">
        <f t="array" aca="1" ref="V80" ca="1">IF(ROWS($A$11:$A80)&lt;=COUNTIF('SL bán theo ngày'!$A$9:$A$82,"?*"),INDEX('SL bán theo ngày'!Y$9:Y$82,ROWS($A$11:$A80)),"")</f>
        <v/>
      </c>
      <c r="W80" s="49" t="str">
        <f t="array" aca="1" ref="W80" ca="1">IF(ROWS($A$11:$A80)&lt;=COUNTIF('SL bán theo ngày'!$A$9:$A$82,"?*"),INDEX('SL bán theo ngày'!Z$9:Z$82,ROWS($A$11:$A80)),"")</f>
        <v/>
      </c>
      <c r="X80" s="49" t="str">
        <f t="array" aca="1" ref="X80" ca="1">IF(ROWS($A$11:$A80)&lt;=COUNTIF('SL bán theo ngày'!$A$9:$A$82,"?*"),INDEX('SL bán theo ngày'!AA$9:AA$82,ROWS($A$11:$A80)),"")</f>
        <v/>
      </c>
      <c r="Y80" s="49" t="str">
        <f t="array" aca="1" ref="Y80" ca="1">IF(ROWS($A$11:$A80)&lt;=COUNTIF('SL bán theo ngày'!$A$9:$A$82,"?*"),INDEX('SL bán theo ngày'!AB$9:AB$82,ROWS($A$11:$A80)),"")</f>
        <v/>
      </c>
      <c r="Z80" s="49" t="str">
        <f t="array" aca="1" ref="Z80" ca="1">IF(ROWS($A$11:$A80)&lt;=COUNTIF('SL bán theo ngày'!$A$9:$A$82,"?*"),INDEX('SL bán theo ngày'!AC$9:AC$82,ROWS($A$11:$A80)),"")</f>
        <v/>
      </c>
      <c r="AA80" s="49" t="str">
        <f t="array" aca="1" ref="AA80" ca="1">IF(ROWS($A$11:$A80)&lt;=COUNTIF('SL bán theo ngày'!$A$9:$A$82,"?*"),INDEX('SL bán theo ngày'!AD$9:AD$82,ROWS($A$11:$A80)),"")</f>
        <v/>
      </c>
      <c r="AB80" s="49" t="str">
        <f t="array" aca="1" ref="AB80" ca="1">IF(ROWS($A$11:$A80)&lt;=COUNTIF('SL bán theo ngày'!$A$9:$A$82,"?*"),INDEX('SL bán theo ngày'!AE$9:AE$82,ROWS($A$11:$A80)),"")</f>
        <v/>
      </c>
      <c r="AC80" s="49" t="str">
        <f t="array" aca="1" ref="AC80" ca="1">IF(ROWS($A$11:$A80)&lt;=COUNTIF('SL bán theo ngày'!$A$9:$A$82,"?*"),INDEX('SL bán theo ngày'!AF$9:AF$82,ROWS($A$11:$A80)),"")</f>
        <v/>
      </c>
      <c r="AD80" s="49" t="str">
        <f t="array" aca="1" ref="AD80" ca="1">IF(ROWS($A$11:$A80)&lt;=COUNTIF('SL bán theo ngày'!$A$9:$A$82,"?*"),INDEX('SL bán theo ngày'!AG$9:AG$82,ROWS($A$11:$A80)),"")</f>
        <v/>
      </c>
      <c r="AE80" s="49" t="str">
        <f t="array" aca="1" ref="AE80" ca="1">IF(ROWS($A$11:$A80)&lt;=COUNTIF('SL bán theo ngày'!$A$9:$A$82,"?*"),INDEX('SL bán theo ngày'!AH$9:AH$82,ROWS($A$11:$A80)),"")</f>
        <v/>
      </c>
      <c r="AF80" s="49" t="str">
        <f t="array" aca="1" ref="AF80" ca="1">IF(ROWS($A$11:$A80)&lt;=COUNTIF('SL bán theo ngày'!$A$9:$A$82,"?*"),INDEX('SL bán theo ngày'!AI$9:AI$82,ROWS($A$11:$A80)),"")</f>
        <v/>
      </c>
      <c r="AG80" s="49" t="str">
        <f t="array" aca="1" ref="AG80" ca="1">IF(ROWS($A$11:$A80)&lt;=COUNTIF('SL bán theo ngày'!$A$9:$A$82,"?*"),INDEX('SL bán theo ngày'!C$9:C$82,ROWS($A$11:$A80)),"")</f>
        <v/>
      </c>
      <c r="AH80" s="74" t="str">
        <f t="array" aca="1" ref="AH80" ca="1">IF(ROWS($A$11:$A80)&lt;=COUNTIF('SL bán theo ngày'!$A$9:$A$82,"?*"),INDEX('SL bán theo ngày'!D$9:D$82,ROWS($A$11:$A80)),"")</f>
        <v/>
      </c>
      <c r="AI80" s="49" t="str">
        <f t="array" aca="1" ref="AI80" ca="1">IF(ROWS($A$11:$A80)&lt;=COUNTIF('SL bán theo ngày'!$A$9:$A$82,"?*"),INDEX('SL bán theo ngày'!E$9:E$82,ROWS($A$11:$A80)),"")</f>
        <v/>
      </c>
      <c r="AJ80" s="49" t="str">
        <f t="array" aca="1" ref="AJ80" ca="1">IF(ROWS($A$11:$A80)&lt;=COUNTIF('SL bán theo ngày'!$A$9:$A$82,"?*"),INDEX('SL bán theo ngày'!AJ$9:AJ$82,ROWS($A$11:$A80)),"")</f>
        <v/>
      </c>
      <c r="AK80" s="49" t="str">
        <f t="array" aca="1" ref="AK80" ca="1">IF(ROWS($A$11:$A80)&lt;=COUNTIF('SL bán theo ngày'!$A$9:$A$82,"?*"),INDEX('SL bán theo ngày'!AK$9:AK$82,ROWS($A$11:$A80)),"")</f>
        <v/>
      </c>
    </row>
    <row r="81" spans="1:37" ht="15.75" customHeight="1" x14ac:dyDescent="0.25">
      <c r="A81" s="33" t="str">
        <f t="array" aca="1" ref="A81" ca="1">IF(ROWS($A$11:$A81)&lt;=COUNTIF('SL bán theo ngày'!$A$9:$A$82,"?*"),INDEX('SL bán theo ngày'!A$9:A$82,ROWS($A$11:$A81)),"")</f>
        <v/>
      </c>
      <c r="B81" s="37" t="str">
        <f t="array" aca="1" ref="B81" ca="1">IF(ROWS($A$11:$A81)&lt;=COUNTIF('SL bán theo ngày'!$A$9:$A$82,"?*"),INDEX('SL bán theo ngày'!B$9:B$82,ROWS($A$11:$A81)),"")</f>
        <v/>
      </c>
      <c r="C81" s="79" t="str">
        <f t="array" aca="1" ref="C81" ca="1">IF(ROWS($A$11:$A81)&lt;=COUNTIF('SL bán theo ngày'!$A$9:$A$82,"?*"),INDEX('SL bán theo ngày'!F$9:F$82,ROWS($A$11:$A81)),"")</f>
        <v/>
      </c>
      <c r="D81" s="49" t="str">
        <f t="array" aca="1" ref="D81" ca="1">IF(ROWS($A$11:$A81)&lt;=COUNTIF('SL bán theo ngày'!$A$9:$A$82,"?*"),INDEX('SL bán theo ngày'!G$9:G$82,ROWS($A$11:$A81)),"")</f>
        <v/>
      </c>
      <c r="E81" s="49" t="str">
        <f t="array" aca="1" ref="E81" ca="1">IF(ROWS($A$11:$A81)&lt;=COUNTIF('SL bán theo ngày'!$A$9:$A$82,"?*"),INDEX('SL bán theo ngày'!H$9:H$82,ROWS($A$11:$A81)),"")</f>
        <v/>
      </c>
      <c r="F81" s="49" t="str">
        <f t="array" aca="1" ref="F81" ca="1">IF(ROWS($A$11:$A81)&lt;=COUNTIF('SL bán theo ngày'!$A$9:$A$82,"?*"),INDEX('SL bán theo ngày'!I$9:I$82,ROWS($A$11:$A81)),"")</f>
        <v/>
      </c>
      <c r="G81" s="49" t="str">
        <f t="array" aca="1" ref="G81" ca="1">IF(ROWS($A$11:$A81)&lt;=COUNTIF('SL bán theo ngày'!$A$9:$A$82,"?*"),INDEX('SL bán theo ngày'!J$9:J$82,ROWS($A$11:$A81)),"")</f>
        <v/>
      </c>
      <c r="H81" s="49" t="str">
        <f t="array" aca="1" ref="H81" ca="1">IF(ROWS($A$11:$A81)&lt;=COUNTIF('SL bán theo ngày'!$A$9:$A$82,"?*"),INDEX('SL bán theo ngày'!K$9:K$82,ROWS($A$11:$A81)),"")</f>
        <v/>
      </c>
      <c r="I81" s="49" t="str">
        <f t="array" aca="1" ref="I81" ca="1">IF(ROWS($A$11:$A81)&lt;=COUNTIF('SL bán theo ngày'!$A$9:$A$82,"?*"),INDEX('SL bán theo ngày'!L$9:L$82,ROWS($A$11:$A81)),"")</f>
        <v/>
      </c>
      <c r="J81" s="49" t="str">
        <f t="array" aca="1" ref="J81" ca="1">IF(ROWS($A$11:$A81)&lt;=COUNTIF('SL bán theo ngày'!$A$9:$A$82,"?*"),INDEX('SL bán theo ngày'!M$9:M$82,ROWS($A$11:$A81)),"")</f>
        <v/>
      </c>
      <c r="K81" s="49" t="str">
        <f t="array" aca="1" ref="K81" ca="1">IF(ROWS($A$11:$A81)&lt;=COUNTIF('SL bán theo ngày'!$A$9:$A$82,"?*"),INDEX('SL bán theo ngày'!N$9:N$82,ROWS($A$11:$A81)),"")</f>
        <v/>
      </c>
      <c r="L81" s="49" t="str">
        <f t="array" aca="1" ref="L81" ca="1">IF(ROWS($A$11:$A81)&lt;=COUNTIF('SL bán theo ngày'!$A$9:$A$82,"?*"),INDEX('SL bán theo ngày'!O$9:O$82,ROWS($A$11:$A81)),"")</f>
        <v/>
      </c>
      <c r="M81" s="49" t="str">
        <f t="array" aca="1" ref="M81" ca="1">IF(ROWS($A$11:$A81)&lt;=COUNTIF('SL bán theo ngày'!$A$9:$A$82,"?*"),INDEX('SL bán theo ngày'!P$9:P$82,ROWS($A$11:$A81)),"")</f>
        <v/>
      </c>
      <c r="N81" s="49" t="str">
        <f t="array" aca="1" ref="N81" ca="1">IF(ROWS($A$11:$A81)&lt;=COUNTIF('SL bán theo ngày'!$A$9:$A$82,"?*"),INDEX('SL bán theo ngày'!Q$9:Q$82,ROWS($A$11:$A81)),"")</f>
        <v/>
      </c>
      <c r="O81" s="49" t="str">
        <f t="array" aca="1" ref="O81" ca="1">IF(ROWS($A$11:$A81)&lt;=COUNTIF('SL bán theo ngày'!$A$9:$A$82,"?*"),INDEX('SL bán theo ngày'!R$9:R$82,ROWS($A$11:$A81)),"")</f>
        <v/>
      </c>
      <c r="P81" s="49" t="str">
        <f t="array" aca="1" ref="P81" ca="1">IF(ROWS($A$11:$A81)&lt;=COUNTIF('SL bán theo ngày'!$A$9:$A$82,"?*"),INDEX('SL bán theo ngày'!S$9:S$82,ROWS($A$11:$A81)),"")</f>
        <v/>
      </c>
      <c r="Q81" s="49" t="str">
        <f t="array" aca="1" ref="Q81" ca="1">IF(ROWS($A$11:$A81)&lt;=COUNTIF('SL bán theo ngày'!$A$9:$A$82,"?*"),INDEX('SL bán theo ngày'!T$9:T$82,ROWS($A$11:$A81)),"")</f>
        <v/>
      </c>
      <c r="R81" s="49" t="str">
        <f t="array" aca="1" ref="R81" ca="1">IF(ROWS($A$11:$A81)&lt;=COUNTIF('SL bán theo ngày'!$A$9:$A$82,"?*"),INDEX('SL bán theo ngày'!U$9:U$82,ROWS($A$11:$A81)),"")</f>
        <v/>
      </c>
      <c r="S81" s="49" t="str">
        <f t="array" aca="1" ref="S81" ca="1">IF(ROWS($A$11:$A81)&lt;=COUNTIF('SL bán theo ngày'!$A$9:$A$82,"?*"),INDEX('SL bán theo ngày'!V$9:V$82,ROWS($A$11:$A81)),"")</f>
        <v/>
      </c>
      <c r="T81" s="49" t="str">
        <f t="array" aca="1" ref="T81" ca="1">IF(ROWS($A$11:$A81)&lt;=COUNTIF('SL bán theo ngày'!$A$9:$A$82,"?*"),INDEX('SL bán theo ngày'!W$9:W$82,ROWS($A$11:$A81)),"")</f>
        <v/>
      </c>
      <c r="U81" s="49" t="str">
        <f t="array" aca="1" ref="U81" ca="1">IF(ROWS($A$11:$A81)&lt;=COUNTIF('SL bán theo ngày'!$A$9:$A$82,"?*"),INDEX('SL bán theo ngày'!X$9:X$82,ROWS($A$11:$A81)),"")</f>
        <v/>
      </c>
      <c r="V81" s="49" t="str">
        <f t="array" aca="1" ref="V81" ca="1">IF(ROWS($A$11:$A81)&lt;=COUNTIF('SL bán theo ngày'!$A$9:$A$82,"?*"),INDEX('SL bán theo ngày'!Y$9:Y$82,ROWS($A$11:$A81)),"")</f>
        <v/>
      </c>
      <c r="W81" s="49" t="str">
        <f t="array" aca="1" ref="W81" ca="1">IF(ROWS($A$11:$A81)&lt;=COUNTIF('SL bán theo ngày'!$A$9:$A$82,"?*"),INDEX('SL bán theo ngày'!Z$9:Z$82,ROWS($A$11:$A81)),"")</f>
        <v/>
      </c>
      <c r="X81" s="49" t="str">
        <f t="array" aca="1" ref="X81" ca="1">IF(ROWS($A$11:$A81)&lt;=COUNTIF('SL bán theo ngày'!$A$9:$A$82,"?*"),INDEX('SL bán theo ngày'!AA$9:AA$82,ROWS($A$11:$A81)),"")</f>
        <v/>
      </c>
      <c r="Y81" s="49" t="str">
        <f t="array" aca="1" ref="Y81" ca="1">IF(ROWS($A$11:$A81)&lt;=COUNTIF('SL bán theo ngày'!$A$9:$A$82,"?*"),INDEX('SL bán theo ngày'!AB$9:AB$82,ROWS($A$11:$A81)),"")</f>
        <v/>
      </c>
      <c r="Z81" s="49" t="str">
        <f t="array" aca="1" ref="Z81" ca="1">IF(ROWS($A$11:$A81)&lt;=COUNTIF('SL bán theo ngày'!$A$9:$A$82,"?*"),INDEX('SL bán theo ngày'!AC$9:AC$82,ROWS($A$11:$A81)),"")</f>
        <v/>
      </c>
      <c r="AA81" s="49" t="str">
        <f t="array" aca="1" ref="AA81" ca="1">IF(ROWS($A$11:$A81)&lt;=COUNTIF('SL bán theo ngày'!$A$9:$A$82,"?*"),INDEX('SL bán theo ngày'!AD$9:AD$82,ROWS($A$11:$A81)),"")</f>
        <v/>
      </c>
      <c r="AB81" s="49" t="str">
        <f t="array" aca="1" ref="AB81" ca="1">IF(ROWS($A$11:$A81)&lt;=COUNTIF('SL bán theo ngày'!$A$9:$A$82,"?*"),INDEX('SL bán theo ngày'!AE$9:AE$82,ROWS($A$11:$A81)),"")</f>
        <v/>
      </c>
      <c r="AC81" s="49" t="str">
        <f t="array" aca="1" ref="AC81" ca="1">IF(ROWS($A$11:$A81)&lt;=COUNTIF('SL bán theo ngày'!$A$9:$A$82,"?*"),INDEX('SL bán theo ngày'!AF$9:AF$82,ROWS($A$11:$A81)),"")</f>
        <v/>
      </c>
      <c r="AD81" s="49" t="str">
        <f t="array" aca="1" ref="AD81" ca="1">IF(ROWS($A$11:$A81)&lt;=COUNTIF('SL bán theo ngày'!$A$9:$A$82,"?*"),INDEX('SL bán theo ngày'!AG$9:AG$82,ROWS($A$11:$A81)),"")</f>
        <v/>
      </c>
      <c r="AE81" s="49" t="str">
        <f t="array" aca="1" ref="AE81" ca="1">IF(ROWS($A$11:$A81)&lt;=COUNTIF('SL bán theo ngày'!$A$9:$A$82,"?*"),INDEX('SL bán theo ngày'!AH$9:AH$82,ROWS($A$11:$A81)),"")</f>
        <v/>
      </c>
      <c r="AF81" s="49" t="str">
        <f t="array" aca="1" ref="AF81" ca="1">IF(ROWS($A$11:$A81)&lt;=COUNTIF('SL bán theo ngày'!$A$9:$A$82,"?*"),INDEX('SL bán theo ngày'!AI$9:AI$82,ROWS($A$11:$A81)),"")</f>
        <v/>
      </c>
      <c r="AG81" s="49" t="str">
        <f t="array" aca="1" ref="AG81" ca="1">IF(ROWS($A$11:$A81)&lt;=COUNTIF('SL bán theo ngày'!$A$9:$A$82,"?*"),INDEX('SL bán theo ngày'!C$9:C$82,ROWS($A$11:$A81)),"")</f>
        <v/>
      </c>
      <c r="AH81" s="74" t="str">
        <f t="array" aca="1" ref="AH81" ca="1">IF(ROWS($A$11:$A81)&lt;=COUNTIF('SL bán theo ngày'!$A$9:$A$82,"?*"),INDEX('SL bán theo ngày'!D$9:D$82,ROWS($A$11:$A81)),"")</f>
        <v/>
      </c>
      <c r="AI81" s="49" t="str">
        <f t="array" aca="1" ref="AI81" ca="1">IF(ROWS($A$11:$A81)&lt;=COUNTIF('SL bán theo ngày'!$A$9:$A$82,"?*"),INDEX('SL bán theo ngày'!E$9:E$82,ROWS($A$11:$A81)),"")</f>
        <v/>
      </c>
      <c r="AJ81" s="49" t="str">
        <f t="array" aca="1" ref="AJ81" ca="1">IF(ROWS($A$11:$A81)&lt;=COUNTIF('SL bán theo ngày'!$A$9:$A$82,"?*"),INDEX('SL bán theo ngày'!AJ$9:AJ$82,ROWS($A$11:$A81)),"")</f>
        <v/>
      </c>
      <c r="AK81" s="49" t="str">
        <f t="array" aca="1" ref="AK81" ca="1">IF(ROWS($A$11:$A81)&lt;=COUNTIF('SL bán theo ngày'!$A$9:$A$82,"?*"),INDEX('SL bán theo ngày'!AK$9:AK$82,ROWS($A$11:$A81)),"")</f>
        <v/>
      </c>
    </row>
    <row r="82" spans="1:37" ht="15.75" customHeight="1" x14ac:dyDescent="0.25">
      <c r="A82" s="33" t="str">
        <f t="array" aca="1" ref="A82" ca="1">IF(ROWS($A$11:$A82)&lt;=COUNTIF('SL bán theo ngày'!$A$9:$A$82,"?*"),INDEX('SL bán theo ngày'!A$9:A$82,ROWS($A$11:$A82)),"")</f>
        <v/>
      </c>
      <c r="B82" s="37" t="str">
        <f t="array" aca="1" ref="B82" ca="1">IF(ROWS($A$11:$A82)&lt;=COUNTIF('SL bán theo ngày'!$A$9:$A$82,"?*"),INDEX('SL bán theo ngày'!B$9:B$82,ROWS($A$11:$A82)),"")</f>
        <v/>
      </c>
      <c r="C82" s="79" t="str">
        <f t="array" aca="1" ref="C82" ca="1">IF(ROWS($A$11:$A82)&lt;=COUNTIF('SL bán theo ngày'!$A$9:$A$82,"?*"),INDEX('SL bán theo ngày'!F$9:F$82,ROWS($A$11:$A82)),"")</f>
        <v/>
      </c>
      <c r="D82" s="49" t="str">
        <f t="array" aca="1" ref="D82" ca="1">IF(ROWS($A$11:$A82)&lt;=COUNTIF('SL bán theo ngày'!$A$9:$A$82,"?*"),INDEX('SL bán theo ngày'!G$9:G$82,ROWS($A$11:$A82)),"")</f>
        <v/>
      </c>
      <c r="E82" s="49" t="str">
        <f t="array" aca="1" ref="E82" ca="1">IF(ROWS($A$11:$A82)&lt;=COUNTIF('SL bán theo ngày'!$A$9:$A$82,"?*"),INDEX('SL bán theo ngày'!H$9:H$82,ROWS($A$11:$A82)),"")</f>
        <v/>
      </c>
      <c r="F82" s="49" t="str">
        <f t="array" aca="1" ref="F82" ca="1">IF(ROWS($A$11:$A82)&lt;=COUNTIF('SL bán theo ngày'!$A$9:$A$82,"?*"),INDEX('SL bán theo ngày'!I$9:I$82,ROWS($A$11:$A82)),"")</f>
        <v/>
      </c>
      <c r="G82" s="49" t="str">
        <f t="array" aca="1" ref="G82" ca="1">IF(ROWS($A$11:$A82)&lt;=COUNTIF('SL bán theo ngày'!$A$9:$A$82,"?*"),INDEX('SL bán theo ngày'!J$9:J$82,ROWS($A$11:$A82)),"")</f>
        <v/>
      </c>
      <c r="H82" s="49" t="str">
        <f t="array" aca="1" ref="H82" ca="1">IF(ROWS($A$11:$A82)&lt;=COUNTIF('SL bán theo ngày'!$A$9:$A$82,"?*"),INDEX('SL bán theo ngày'!K$9:K$82,ROWS($A$11:$A82)),"")</f>
        <v/>
      </c>
      <c r="I82" s="49" t="str">
        <f t="array" aca="1" ref="I82" ca="1">IF(ROWS($A$11:$A82)&lt;=COUNTIF('SL bán theo ngày'!$A$9:$A$82,"?*"),INDEX('SL bán theo ngày'!L$9:L$82,ROWS($A$11:$A82)),"")</f>
        <v/>
      </c>
      <c r="J82" s="49" t="str">
        <f t="array" aca="1" ref="J82" ca="1">IF(ROWS($A$11:$A82)&lt;=COUNTIF('SL bán theo ngày'!$A$9:$A$82,"?*"),INDEX('SL bán theo ngày'!M$9:M$82,ROWS($A$11:$A82)),"")</f>
        <v/>
      </c>
      <c r="K82" s="49" t="str">
        <f t="array" aca="1" ref="K82" ca="1">IF(ROWS($A$11:$A82)&lt;=COUNTIF('SL bán theo ngày'!$A$9:$A$82,"?*"),INDEX('SL bán theo ngày'!N$9:N$82,ROWS($A$11:$A82)),"")</f>
        <v/>
      </c>
      <c r="L82" s="49" t="str">
        <f t="array" aca="1" ref="L82" ca="1">IF(ROWS($A$11:$A82)&lt;=COUNTIF('SL bán theo ngày'!$A$9:$A$82,"?*"),INDEX('SL bán theo ngày'!O$9:O$82,ROWS($A$11:$A82)),"")</f>
        <v/>
      </c>
      <c r="M82" s="49" t="str">
        <f t="array" aca="1" ref="M82" ca="1">IF(ROWS($A$11:$A82)&lt;=COUNTIF('SL bán theo ngày'!$A$9:$A$82,"?*"),INDEX('SL bán theo ngày'!P$9:P$82,ROWS($A$11:$A82)),"")</f>
        <v/>
      </c>
      <c r="N82" s="49" t="str">
        <f t="array" aca="1" ref="N82" ca="1">IF(ROWS($A$11:$A82)&lt;=COUNTIF('SL bán theo ngày'!$A$9:$A$82,"?*"),INDEX('SL bán theo ngày'!Q$9:Q$82,ROWS($A$11:$A82)),"")</f>
        <v/>
      </c>
      <c r="O82" s="49" t="str">
        <f t="array" aca="1" ref="O82" ca="1">IF(ROWS($A$11:$A82)&lt;=COUNTIF('SL bán theo ngày'!$A$9:$A$82,"?*"),INDEX('SL bán theo ngày'!R$9:R$82,ROWS($A$11:$A82)),"")</f>
        <v/>
      </c>
      <c r="P82" s="49" t="str">
        <f t="array" aca="1" ref="P82" ca="1">IF(ROWS($A$11:$A82)&lt;=COUNTIF('SL bán theo ngày'!$A$9:$A$82,"?*"),INDEX('SL bán theo ngày'!S$9:S$82,ROWS($A$11:$A82)),"")</f>
        <v/>
      </c>
      <c r="Q82" s="49" t="str">
        <f t="array" aca="1" ref="Q82" ca="1">IF(ROWS($A$11:$A82)&lt;=COUNTIF('SL bán theo ngày'!$A$9:$A$82,"?*"),INDEX('SL bán theo ngày'!T$9:T$82,ROWS($A$11:$A82)),"")</f>
        <v/>
      </c>
      <c r="R82" s="49" t="str">
        <f t="array" aca="1" ref="R82" ca="1">IF(ROWS($A$11:$A82)&lt;=COUNTIF('SL bán theo ngày'!$A$9:$A$82,"?*"),INDEX('SL bán theo ngày'!U$9:U$82,ROWS($A$11:$A82)),"")</f>
        <v/>
      </c>
      <c r="S82" s="49" t="str">
        <f t="array" aca="1" ref="S82" ca="1">IF(ROWS($A$11:$A82)&lt;=COUNTIF('SL bán theo ngày'!$A$9:$A$82,"?*"),INDEX('SL bán theo ngày'!V$9:V$82,ROWS($A$11:$A82)),"")</f>
        <v/>
      </c>
      <c r="T82" s="49" t="str">
        <f t="array" aca="1" ref="T82" ca="1">IF(ROWS($A$11:$A82)&lt;=COUNTIF('SL bán theo ngày'!$A$9:$A$82,"?*"),INDEX('SL bán theo ngày'!W$9:W$82,ROWS($A$11:$A82)),"")</f>
        <v/>
      </c>
      <c r="U82" s="49" t="str">
        <f t="array" aca="1" ref="U82" ca="1">IF(ROWS($A$11:$A82)&lt;=COUNTIF('SL bán theo ngày'!$A$9:$A$82,"?*"),INDEX('SL bán theo ngày'!X$9:X$82,ROWS($A$11:$A82)),"")</f>
        <v/>
      </c>
      <c r="V82" s="49" t="str">
        <f t="array" aca="1" ref="V82" ca="1">IF(ROWS($A$11:$A82)&lt;=COUNTIF('SL bán theo ngày'!$A$9:$A$82,"?*"),INDEX('SL bán theo ngày'!Y$9:Y$82,ROWS($A$11:$A82)),"")</f>
        <v/>
      </c>
      <c r="W82" s="49" t="str">
        <f t="array" aca="1" ref="W82" ca="1">IF(ROWS($A$11:$A82)&lt;=COUNTIF('SL bán theo ngày'!$A$9:$A$82,"?*"),INDEX('SL bán theo ngày'!Z$9:Z$82,ROWS($A$11:$A82)),"")</f>
        <v/>
      </c>
      <c r="X82" s="49" t="str">
        <f t="array" aca="1" ref="X82" ca="1">IF(ROWS($A$11:$A82)&lt;=COUNTIF('SL bán theo ngày'!$A$9:$A$82,"?*"),INDEX('SL bán theo ngày'!AA$9:AA$82,ROWS($A$11:$A82)),"")</f>
        <v/>
      </c>
      <c r="Y82" s="49" t="str">
        <f t="array" aca="1" ref="Y82" ca="1">IF(ROWS($A$11:$A82)&lt;=COUNTIF('SL bán theo ngày'!$A$9:$A$82,"?*"),INDEX('SL bán theo ngày'!AB$9:AB$82,ROWS($A$11:$A82)),"")</f>
        <v/>
      </c>
      <c r="Z82" s="49" t="str">
        <f t="array" aca="1" ref="Z82" ca="1">IF(ROWS($A$11:$A82)&lt;=COUNTIF('SL bán theo ngày'!$A$9:$A$82,"?*"),INDEX('SL bán theo ngày'!AC$9:AC$82,ROWS($A$11:$A82)),"")</f>
        <v/>
      </c>
      <c r="AA82" s="49" t="str">
        <f t="array" aca="1" ref="AA82" ca="1">IF(ROWS($A$11:$A82)&lt;=COUNTIF('SL bán theo ngày'!$A$9:$A$82,"?*"),INDEX('SL bán theo ngày'!AD$9:AD$82,ROWS($A$11:$A82)),"")</f>
        <v/>
      </c>
      <c r="AB82" s="49" t="str">
        <f t="array" aca="1" ref="AB82" ca="1">IF(ROWS($A$11:$A82)&lt;=COUNTIF('SL bán theo ngày'!$A$9:$A$82,"?*"),INDEX('SL bán theo ngày'!AE$9:AE$82,ROWS($A$11:$A82)),"")</f>
        <v/>
      </c>
      <c r="AC82" s="49" t="str">
        <f t="array" aca="1" ref="AC82" ca="1">IF(ROWS($A$11:$A82)&lt;=COUNTIF('SL bán theo ngày'!$A$9:$A$82,"?*"),INDEX('SL bán theo ngày'!AF$9:AF$82,ROWS($A$11:$A82)),"")</f>
        <v/>
      </c>
      <c r="AD82" s="49" t="str">
        <f t="array" aca="1" ref="AD82" ca="1">IF(ROWS($A$11:$A82)&lt;=COUNTIF('SL bán theo ngày'!$A$9:$A$82,"?*"),INDEX('SL bán theo ngày'!AG$9:AG$82,ROWS($A$11:$A82)),"")</f>
        <v/>
      </c>
      <c r="AE82" s="49" t="str">
        <f t="array" aca="1" ref="AE82" ca="1">IF(ROWS($A$11:$A82)&lt;=COUNTIF('SL bán theo ngày'!$A$9:$A$82,"?*"),INDEX('SL bán theo ngày'!AH$9:AH$82,ROWS($A$11:$A82)),"")</f>
        <v/>
      </c>
      <c r="AF82" s="49" t="str">
        <f t="array" aca="1" ref="AF82" ca="1">IF(ROWS($A$11:$A82)&lt;=COUNTIF('SL bán theo ngày'!$A$9:$A$82,"?*"),INDEX('SL bán theo ngày'!AI$9:AI$82,ROWS($A$11:$A82)),"")</f>
        <v/>
      </c>
      <c r="AG82" s="49" t="str">
        <f t="array" aca="1" ref="AG82" ca="1">IF(ROWS($A$11:$A82)&lt;=COUNTIF('SL bán theo ngày'!$A$9:$A$82,"?*"),INDEX('SL bán theo ngày'!C$9:C$82,ROWS($A$11:$A82)),"")</f>
        <v/>
      </c>
      <c r="AH82" s="74" t="str">
        <f t="array" aca="1" ref="AH82" ca="1">IF(ROWS($A$11:$A82)&lt;=COUNTIF('SL bán theo ngày'!$A$9:$A$82,"?*"),INDEX('SL bán theo ngày'!D$9:D$82,ROWS($A$11:$A82)),"")</f>
        <v/>
      </c>
      <c r="AI82" s="49" t="str">
        <f t="array" aca="1" ref="AI82" ca="1">IF(ROWS($A$11:$A82)&lt;=COUNTIF('SL bán theo ngày'!$A$9:$A$82,"?*"),INDEX('SL bán theo ngày'!E$9:E$82,ROWS($A$11:$A82)),"")</f>
        <v/>
      </c>
      <c r="AJ82" s="49" t="str">
        <f t="array" aca="1" ref="AJ82" ca="1">IF(ROWS($A$11:$A82)&lt;=COUNTIF('SL bán theo ngày'!$A$9:$A$82,"?*"),INDEX('SL bán theo ngày'!AJ$9:AJ$82,ROWS($A$11:$A82)),"")</f>
        <v/>
      </c>
      <c r="AK82" s="49" t="str">
        <f t="array" aca="1" ref="AK82" ca="1">IF(ROWS($A$11:$A82)&lt;=COUNTIF('SL bán theo ngày'!$A$9:$A$82,"?*"),INDEX('SL bán theo ngày'!AK$9:AK$82,ROWS($A$11:$A82)),"")</f>
        <v/>
      </c>
    </row>
    <row r="83" spans="1:37" ht="15.75" customHeight="1" x14ac:dyDescent="0.25">
      <c r="A83" s="33" t="str">
        <f t="array" aca="1" ref="A83" ca="1">IF(ROWS($A$11:$A83)&lt;=COUNTIF('SL bán theo ngày'!$A$9:$A$82,"?*"),INDEX('SL bán theo ngày'!A$9:A$82,ROWS($A$11:$A83)),"")</f>
        <v/>
      </c>
      <c r="B83" s="37" t="str">
        <f t="array" aca="1" ref="B83" ca="1">IF(ROWS($A$11:$A83)&lt;=COUNTIF('SL bán theo ngày'!$A$9:$A$82,"?*"),INDEX('SL bán theo ngày'!B$9:B$82,ROWS($A$11:$A83)),"")</f>
        <v/>
      </c>
      <c r="C83" s="79" t="str">
        <f t="array" aca="1" ref="C83" ca="1">IF(ROWS($A$11:$A83)&lt;=COUNTIF('SL bán theo ngày'!$A$9:$A$82,"?*"),INDEX('SL bán theo ngày'!F$9:F$82,ROWS($A$11:$A83)),"")</f>
        <v/>
      </c>
      <c r="D83" s="49" t="str">
        <f t="array" aca="1" ref="D83" ca="1">IF(ROWS($A$11:$A83)&lt;=COUNTIF('SL bán theo ngày'!$A$9:$A$82,"?*"),INDEX('SL bán theo ngày'!G$9:G$82,ROWS($A$11:$A83)),"")</f>
        <v/>
      </c>
      <c r="E83" s="49" t="str">
        <f t="array" aca="1" ref="E83" ca="1">IF(ROWS($A$11:$A83)&lt;=COUNTIF('SL bán theo ngày'!$A$9:$A$82,"?*"),INDEX('SL bán theo ngày'!H$9:H$82,ROWS($A$11:$A83)),"")</f>
        <v/>
      </c>
      <c r="F83" s="49" t="str">
        <f t="array" aca="1" ref="F83" ca="1">IF(ROWS($A$11:$A83)&lt;=COUNTIF('SL bán theo ngày'!$A$9:$A$82,"?*"),INDEX('SL bán theo ngày'!I$9:I$82,ROWS($A$11:$A83)),"")</f>
        <v/>
      </c>
      <c r="G83" s="49" t="str">
        <f t="array" aca="1" ref="G83" ca="1">IF(ROWS($A$11:$A83)&lt;=COUNTIF('SL bán theo ngày'!$A$9:$A$82,"?*"),INDEX('SL bán theo ngày'!J$9:J$82,ROWS($A$11:$A83)),"")</f>
        <v/>
      </c>
      <c r="H83" s="49" t="str">
        <f t="array" aca="1" ref="H83" ca="1">IF(ROWS($A$11:$A83)&lt;=COUNTIF('SL bán theo ngày'!$A$9:$A$82,"?*"),INDEX('SL bán theo ngày'!K$9:K$82,ROWS($A$11:$A83)),"")</f>
        <v/>
      </c>
      <c r="I83" s="49" t="str">
        <f t="array" aca="1" ref="I83" ca="1">IF(ROWS($A$11:$A83)&lt;=COUNTIF('SL bán theo ngày'!$A$9:$A$82,"?*"),INDEX('SL bán theo ngày'!L$9:L$82,ROWS($A$11:$A83)),"")</f>
        <v/>
      </c>
      <c r="J83" s="49" t="str">
        <f t="array" aca="1" ref="J83" ca="1">IF(ROWS($A$11:$A83)&lt;=COUNTIF('SL bán theo ngày'!$A$9:$A$82,"?*"),INDEX('SL bán theo ngày'!M$9:M$82,ROWS($A$11:$A83)),"")</f>
        <v/>
      </c>
      <c r="K83" s="49" t="str">
        <f t="array" aca="1" ref="K83" ca="1">IF(ROWS($A$11:$A83)&lt;=COUNTIF('SL bán theo ngày'!$A$9:$A$82,"?*"),INDEX('SL bán theo ngày'!N$9:N$82,ROWS($A$11:$A83)),"")</f>
        <v/>
      </c>
      <c r="L83" s="49" t="str">
        <f t="array" aca="1" ref="L83" ca="1">IF(ROWS($A$11:$A83)&lt;=COUNTIF('SL bán theo ngày'!$A$9:$A$82,"?*"),INDEX('SL bán theo ngày'!O$9:O$82,ROWS($A$11:$A83)),"")</f>
        <v/>
      </c>
      <c r="M83" s="49" t="str">
        <f t="array" aca="1" ref="M83" ca="1">IF(ROWS($A$11:$A83)&lt;=COUNTIF('SL bán theo ngày'!$A$9:$A$82,"?*"),INDEX('SL bán theo ngày'!P$9:P$82,ROWS($A$11:$A83)),"")</f>
        <v/>
      </c>
      <c r="N83" s="49" t="str">
        <f t="array" aca="1" ref="N83" ca="1">IF(ROWS($A$11:$A83)&lt;=COUNTIF('SL bán theo ngày'!$A$9:$A$82,"?*"),INDEX('SL bán theo ngày'!Q$9:Q$82,ROWS($A$11:$A83)),"")</f>
        <v/>
      </c>
      <c r="O83" s="49" t="str">
        <f t="array" aca="1" ref="O83" ca="1">IF(ROWS($A$11:$A83)&lt;=COUNTIF('SL bán theo ngày'!$A$9:$A$82,"?*"),INDEX('SL bán theo ngày'!R$9:R$82,ROWS($A$11:$A83)),"")</f>
        <v/>
      </c>
      <c r="P83" s="49" t="str">
        <f t="array" aca="1" ref="P83" ca="1">IF(ROWS($A$11:$A83)&lt;=COUNTIF('SL bán theo ngày'!$A$9:$A$82,"?*"),INDEX('SL bán theo ngày'!S$9:S$82,ROWS($A$11:$A83)),"")</f>
        <v/>
      </c>
      <c r="Q83" s="49" t="str">
        <f t="array" aca="1" ref="Q83" ca="1">IF(ROWS($A$11:$A83)&lt;=COUNTIF('SL bán theo ngày'!$A$9:$A$82,"?*"),INDEX('SL bán theo ngày'!T$9:T$82,ROWS($A$11:$A83)),"")</f>
        <v/>
      </c>
      <c r="R83" s="49" t="str">
        <f t="array" aca="1" ref="R83" ca="1">IF(ROWS($A$11:$A83)&lt;=COUNTIF('SL bán theo ngày'!$A$9:$A$82,"?*"),INDEX('SL bán theo ngày'!U$9:U$82,ROWS($A$11:$A83)),"")</f>
        <v/>
      </c>
      <c r="S83" s="49" t="str">
        <f t="array" aca="1" ref="S83" ca="1">IF(ROWS($A$11:$A83)&lt;=COUNTIF('SL bán theo ngày'!$A$9:$A$82,"?*"),INDEX('SL bán theo ngày'!V$9:V$82,ROWS($A$11:$A83)),"")</f>
        <v/>
      </c>
      <c r="T83" s="49" t="str">
        <f t="array" aca="1" ref="T83" ca="1">IF(ROWS($A$11:$A83)&lt;=COUNTIF('SL bán theo ngày'!$A$9:$A$82,"?*"),INDEX('SL bán theo ngày'!W$9:W$82,ROWS($A$11:$A83)),"")</f>
        <v/>
      </c>
      <c r="U83" s="49" t="str">
        <f t="array" aca="1" ref="U83" ca="1">IF(ROWS($A$11:$A83)&lt;=COUNTIF('SL bán theo ngày'!$A$9:$A$82,"?*"),INDEX('SL bán theo ngày'!X$9:X$82,ROWS($A$11:$A83)),"")</f>
        <v/>
      </c>
      <c r="V83" s="49" t="str">
        <f t="array" aca="1" ref="V83" ca="1">IF(ROWS($A$11:$A83)&lt;=COUNTIF('SL bán theo ngày'!$A$9:$A$82,"?*"),INDEX('SL bán theo ngày'!Y$9:Y$82,ROWS($A$11:$A83)),"")</f>
        <v/>
      </c>
      <c r="W83" s="49" t="str">
        <f t="array" aca="1" ref="W83" ca="1">IF(ROWS($A$11:$A83)&lt;=COUNTIF('SL bán theo ngày'!$A$9:$A$82,"?*"),INDEX('SL bán theo ngày'!Z$9:Z$82,ROWS($A$11:$A83)),"")</f>
        <v/>
      </c>
      <c r="X83" s="49" t="str">
        <f t="array" aca="1" ref="X83" ca="1">IF(ROWS($A$11:$A83)&lt;=COUNTIF('SL bán theo ngày'!$A$9:$A$82,"?*"),INDEX('SL bán theo ngày'!AA$9:AA$82,ROWS($A$11:$A83)),"")</f>
        <v/>
      </c>
      <c r="Y83" s="49" t="str">
        <f t="array" aca="1" ref="Y83" ca="1">IF(ROWS($A$11:$A83)&lt;=COUNTIF('SL bán theo ngày'!$A$9:$A$82,"?*"),INDEX('SL bán theo ngày'!AB$9:AB$82,ROWS($A$11:$A83)),"")</f>
        <v/>
      </c>
      <c r="Z83" s="49" t="str">
        <f t="array" aca="1" ref="Z83" ca="1">IF(ROWS($A$11:$A83)&lt;=COUNTIF('SL bán theo ngày'!$A$9:$A$82,"?*"),INDEX('SL bán theo ngày'!AC$9:AC$82,ROWS($A$11:$A83)),"")</f>
        <v/>
      </c>
      <c r="AA83" s="49" t="str">
        <f t="array" aca="1" ref="AA83" ca="1">IF(ROWS($A$11:$A83)&lt;=COUNTIF('SL bán theo ngày'!$A$9:$A$82,"?*"),INDEX('SL bán theo ngày'!AD$9:AD$82,ROWS($A$11:$A83)),"")</f>
        <v/>
      </c>
      <c r="AB83" s="49" t="str">
        <f t="array" aca="1" ref="AB83" ca="1">IF(ROWS($A$11:$A83)&lt;=COUNTIF('SL bán theo ngày'!$A$9:$A$82,"?*"),INDEX('SL bán theo ngày'!AE$9:AE$82,ROWS($A$11:$A83)),"")</f>
        <v/>
      </c>
      <c r="AC83" s="49" t="str">
        <f t="array" aca="1" ref="AC83" ca="1">IF(ROWS($A$11:$A83)&lt;=COUNTIF('SL bán theo ngày'!$A$9:$A$82,"?*"),INDEX('SL bán theo ngày'!AF$9:AF$82,ROWS($A$11:$A83)),"")</f>
        <v/>
      </c>
      <c r="AD83" s="49" t="str">
        <f t="array" aca="1" ref="AD83" ca="1">IF(ROWS($A$11:$A83)&lt;=COUNTIF('SL bán theo ngày'!$A$9:$A$82,"?*"),INDEX('SL bán theo ngày'!AG$9:AG$82,ROWS($A$11:$A83)),"")</f>
        <v/>
      </c>
      <c r="AE83" s="49" t="str">
        <f t="array" aca="1" ref="AE83" ca="1">IF(ROWS($A$11:$A83)&lt;=COUNTIF('SL bán theo ngày'!$A$9:$A$82,"?*"),INDEX('SL bán theo ngày'!AH$9:AH$82,ROWS($A$11:$A83)),"")</f>
        <v/>
      </c>
      <c r="AF83" s="49" t="str">
        <f t="array" aca="1" ref="AF83" ca="1">IF(ROWS($A$11:$A83)&lt;=COUNTIF('SL bán theo ngày'!$A$9:$A$82,"?*"),INDEX('SL bán theo ngày'!AI$9:AI$82,ROWS($A$11:$A83)),"")</f>
        <v/>
      </c>
      <c r="AG83" s="49" t="str">
        <f t="array" aca="1" ref="AG83" ca="1">IF(ROWS($A$11:$A83)&lt;=COUNTIF('SL bán theo ngày'!$A$9:$A$82,"?*"),INDEX('SL bán theo ngày'!C$9:C$82,ROWS($A$11:$A83)),"")</f>
        <v/>
      </c>
      <c r="AH83" s="74" t="str">
        <f t="array" aca="1" ref="AH83" ca="1">IF(ROWS($A$11:$A83)&lt;=COUNTIF('SL bán theo ngày'!$A$9:$A$82,"?*"),INDEX('SL bán theo ngày'!D$9:D$82,ROWS($A$11:$A83)),"")</f>
        <v/>
      </c>
      <c r="AI83" s="49" t="str">
        <f t="array" aca="1" ref="AI83" ca="1">IF(ROWS($A$11:$A83)&lt;=COUNTIF('SL bán theo ngày'!$A$9:$A$82,"?*"),INDEX('SL bán theo ngày'!E$9:E$82,ROWS($A$11:$A83)),"")</f>
        <v/>
      </c>
      <c r="AJ83" s="49" t="str">
        <f t="array" aca="1" ref="AJ83" ca="1">IF(ROWS($A$11:$A83)&lt;=COUNTIF('SL bán theo ngày'!$A$9:$A$82,"?*"),INDEX('SL bán theo ngày'!AJ$9:AJ$82,ROWS($A$11:$A83)),"")</f>
        <v/>
      </c>
      <c r="AK83" s="49" t="str">
        <f t="array" aca="1" ref="AK83" ca="1">IF(ROWS($A$11:$A83)&lt;=COUNTIF('SL bán theo ngày'!$A$9:$A$82,"?*"),INDEX('SL bán theo ngày'!AK$9:AK$82,ROWS($A$11:$A83)),"")</f>
        <v/>
      </c>
    </row>
    <row r="84" spans="1:37" ht="15.75" customHeight="1" x14ac:dyDescent="0.25">
      <c r="A84" s="33" t="str">
        <f t="array" aca="1" ref="A84" ca="1">IF(ROWS($A$11:$A84)&lt;=COUNTIF('SL bán theo ngày'!$A$9:$A$82,"?*"),INDEX('SL bán theo ngày'!A$9:A$82,ROWS($A$11:$A84)),"")</f>
        <v/>
      </c>
      <c r="B84" s="37" t="str">
        <f t="array" aca="1" ref="B84" ca="1">IF(ROWS($A$11:$A84)&lt;=COUNTIF('SL bán theo ngày'!$A$9:$A$82,"?*"),INDEX('SL bán theo ngày'!B$9:B$82,ROWS($A$11:$A84)),"")</f>
        <v/>
      </c>
      <c r="C84" s="79" t="str">
        <f t="array" aca="1" ref="C84" ca="1">IF(ROWS($A$11:$A84)&lt;=COUNTIF('SL bán theo ngày'!$A$9:$A$82,"?*"),INDEX('SL bán theo ngày'!F$9:F$82,ROWS($A$11:$A84)),"")</f>
        <v/>
      </c>
      <c r="D84" s="49" t="str">
        <f t="array" aca="1" ref="D84" ca="1">IF(ROWS($A$11:$A84)&lt;=COUNTIF('SL bán theo ngày'!$A$9:$A$82,"?*"),INDEX('SL bán theo ngày'!G$9:G$82,ROWS($A$11:$A84)),"")</f>
        <v/>
      </c>
      <c r="E84" s="49" t="str">
        <f t="array" aca="1" ref="E84" ca="1">IF(ROWS($A$11:$A84)&lt;=COUNTIF('SL bán theo ngày'!$A$9:$A$82,"?*"),INDEX('SL bán theo ngày'!H$9:H$82,ROWS($A$11:$A84)),"")</f>
        <v/>
      </c>
      <c r="F84" s="49" t="str">
        <f t="array" aca="1" ref="F84" ca="1">IF(ROWS($A$11:$A84)&lt;=COUNTIF('SL bán theo ngày'!$A$9:$A$82,"?*"),INDEX('SL bán theo ngày'!I$9:I$82,ROWS($A$11:$A84)),"")</f>
        <v/>
      </c>
      <c r="G84" s="49" t="str">
        <f t="array" aca="1" ref="G84" ca="1">IF(ROWS($A$11:$A84)&lt;=COUNTIF('SL bán theo ngày'!$A$9:$A$82,"?*"),INDEX('SL bán theo ngày'!J$9:J$82,ROWS($A$11:$A84)),"")</f>
        <v/>
      </c>
      <c r="H84" s="49" t="str">
        <f t="array" aca="1" ref="H84" ca="1">IF(ROWS($A$11:$A84)&lt;=COUNTIF('SL bán theo ngày'!$A$9:$A$82,"?*"),INDEX('SL bán theo ngày'!K$9:K$82,ROWS($A$11:$A84)),"")</f>
        <v/>
      </c>
      <c r="I84" s="49" t="str">
        <f t="array" aca="1" ref="I84" ca="1">IF(ROWS($A$11:$A84)&lt;=COUNTIF('SL bán theo ngày'!$A$9:$A$82,"?*"),INDEX('SL bán theo ngày'!L$9:L$82,ROWS($A$11:$A84)),"")</f>
        <v/>
      </c>
      <c r="J84" s="49" t="str">
        <f t="array" aca="1" ref="J84" ca="1">IF(ROWS($A$11:$A84)&lt;=COUNTIF('SL bán theo ngày'!$A$9:$A$82,"?*"),INDEX('SL bán theo ngày'!M$9:M$82,ROWS($A$11:$A84)),"")</f>
        <v/>
      </c>
      <c r="K84" s="49" t="str">
        <f t="array" aca="1" ref="K84" ca="1">IF(ROWS($A$11:$A84)&lt;=COUNTIF('SL bán theo ngày'!$A$9:$A$82,"?*"),INDEX('SL bán theo ngày'!N$9:N$82,ROWS($A$11:$A84)),"")</f>
        <v/>
      </c>
      <c r="L84" s="49" t="str">
        <f t="array" aca="1" ref="L84" ca="1">IF(ROWS($A$11:$A84)&lt;=COUNTIF('SL bán theo ngày'!$A$9:$A$82,"?*"),INDEX('SL bán theo ngày'!O$9:O$82,ROWS($A$11:$A84)),"")</f>
        <v/>
      </c>
      <c r="M84" s="49" t="str">
        <f t="array" aca="1" ref="M84" ca="1">IF(ROWS($A$11:$A84)&lt;=COUNTIF('SL bán theo ngày'!$A$9:$A$82,"?*"),INDEX('SL bán theo ngày'!P$9:P$82,ROWS($A$11:$A84)),"")</f>
        <v/>
      </c>
      <c r="N84" s="49" t="str">
        <f t="array" aca="1" ref="N84" ca="1">IF(ROWS($A$11:$A84)&lt;=COUNTIF('SL bán theo ngày'!$A$9:$A$82,"?*"),INDEX('SL bán theo ngày'!Q$9:Q$82,ROWS($A$11:$A84)),"")</f>
        <v/>
      </c>
      <c r="O84" s="49" t="str">
        <f t="array" aca="1" ref="O84" ca="1">IF(ROWS($A$11:$A84)&lt;=COUNTIF('SL bán theo ngày'!$A$9:$A$82,"?*"),INDEX('SL bán theo ngày'!R$9:R$82,ROWS($A$11:$A84)),"")</f>
        <v/>
      </c>
      <c r="P84" s="49" t="str">
        <f t="array" aca="1" ref="P84" ca="1">IF(ROWS($A$11:$A84)&lt;=COUNTIF('SL bán theo ngày'!$A$9:$A$82,"?*"),INDEX('SL bán theo ngày'!S$9:S$82,ROWS($A$11:$A84)),"")</f>
        <v/>
      </c>
      <c r="Q84" s="49" t="str">
        <f t="array" aca="1" ref="Q84" ca="1">IF(ROWS($A$11:$A84)&lt;=COUNTIF('SL bán theo ngày'!$A$9:$A$82,"?*"),INDEX('SL bán theo ngày'!T$9:T$82,ROWS($A$11:$A84)),"")</f>
        <v/>
      </c>
      <c r="R84" s="49" t="str">
        <f t="array" aca="1" ref="R84" ca="1">IF(ROWS($A$11:$A84)&lt;=COUNTIF('SL bán theo ngày'!$A$9:$A$82,"?*"),INDEX('SL bán theo ngày'!U$9:U$82,ROWS($A$11:$A84)),"")</f>
        <v/>
      </c>
      <c r="S84" s="49" t="str">
        <f t="array" aca="1" ref="S84" ca="1">IF(ROWS($A$11:$A84)&lt;=COUNTIF('SL bán theo ngày'!$A$9:$A$82,"?*"),INDEX('SL bán theo ngày'!V$9:V$82,ROWS($A$11:$A84)),"")</f>
        <v/>
      </c>
      <c r="T84" s="49" t="str">
        <f t="array" aca="1" ref="T84" ca="1">IF(ROWS($A$11:$A84)&lt;=COUNTIF('SL bán theo ngày'!$A$9:$A$82,"?*"),INDEX('SL bán theo ngày'!W$9:W$82,ROWS($A$11:$A84)),"")</f>
        <v/>
      </c>
      <c r="U84" s="49" t="str">
        <f t="array" aca="1" ref="U84" ca="1">IF(ROWS($A$11:$A84)&lt;=COUNTIF('SL bán theo ngày'!$A$9:$A$82,"?*"),INDEX('SL bán theo ngày'!X$9:X$82,ROWS($A$11:$A84)),"")</f>
        <v/>
      </c>
      <c r="V84" s="49" t="str">
        <f t="array" aca="1" ref="V84" ca="1">IF(ROWS($A$11:$A84)&lt;=COUNTIF('SL bán theo ngày'!$A$9:$A$82,"?*"),INDEX('SL bán theo ngày'!Y$9:Y$82,ROWS($A$11:$A84)),"")</f>
        <v/>
      </c>
      <c r="W84" s="49" t="str">
        <f t="array" aca="1" ref="W84" ca="1">IF(ROWS($A$11:$A84)&lt;=COUNTIF('SL bán theo ngày'!$A$9:$A$82,"?*"),INDEX('SL bán theo ngày'!Z$9:Z$82,ROWS($A$11:$A84)),"")</f>
        <v/>
      </c>
      <c r="X84" s="49" t="str">
        <f t="array" aca="1" ref="X84" ca="1">IF(ROWS($A$11:$A84)&lt;=COUNTIF('SL bán theo ngày'!$A$9:$A$82,"?*"),INDEX('SL bán theo ngày'!AA$9:AA$82,ROWS($A$11:$A84)),"")</f>
        <v/>
      </c>
      <c r="Y84" s="49" t="str">
        <f t="array" aca="1" ref="Y84" ca="1">IF(ROWS($A$11:$A84)&lt;=COUNTIF('SL bán theo ngày'!$A$9:$A$82,"?*"),INDEX('SL bán theo ngày'!AB$9:AB$82,ROWS($A$11:$A84)),"")</f>
        <v/>
      </c>
      <c r="Z84" s="49" t="str">
        <f t="array" aca="1" ref="Z84" ca="1">IF(ROWS($A$11:$A84)&lt;=COUNTIF('SL bán theo ngày'!$A$9:$A$82,"?*"),INDEX('SL bán theo ngày'!AC$9:AC$82,ROWS($A$11:$A84)),"")</f>
        <v/>
      </c>
      <c r="AA84" s="49" t="str">
        <f t="array" aca="1" ref="AA84" ca="1">IF(ROWS($A$11:$A84)&lt;=COUNTIF('SL bán theo ngày'!$A$9:$A$82,"?*"),INDEX('SL bán theo ngày'!AD$9:AD$82,ROWS($A$11:$A84)),"")</f>
        <v/>
      </c>
      <c r="AB84" s="49" t="str">
        <f t="array" aca="1" ref="AB84" ca="1">IF(ROWS($A$11:$A84)&lt;=COUNTIF('SL bán theo ngày'!$A$9:$A$82,"?*"),INDEX('SL bán theo ngày'!AE$9:AE$82,ROWS($A$11:$A84)),"")</f>
        <v/>
      </c>
      <c r="AC84" s="49" t="str">
        <f t="array" aca="1" ref="AC84" ca="1">IF(ROWS($A$11:$A84)&lt;=COUNTIF('SL bán theo ngày'!$A$9:$A$82,"?*"),INDEX('SL bán theo ngày'!AF$9:AF$82,ROWS($A$11:$A84)),"")</f>
        <v/>
      </c>
      <c r="AD84" s="49" t="str">
        <f t="array" aca="1" ref="AD84" ca="1">IF(ROWS($A$11:$A84)&lt;=COUNTIF('SL bán theo ngày'!$A$9:$A$82,"?*"),INDEX('SL bán theo ngày'!AG$9:AG$82,ROWS($A$11:$A84)),"")</f>
        <v/>
      </c>
      <c r="AE84" s="49" t="str">
        <f t="array" aca="1" ref="AE84" ca="1">IF(ROWS($A$11:$A84)&lt;=COUNTIF('SL bán theo ngày'!$A$9:$A$82,"?*"),INDEX('SL bán theo ngày'!AH$9:AH$82,ROWS($A$11:$A84)),"")</f>
        <v/>
      </c>
      <c r="AF84" s="49" t="str">
        <f t="array" aca="1" ref="AF84" ca="1">IF(ROWS($A$11:$A84)&lt;=COUNTIF('SL bán theo ngày'!$A$9:$A$82,"?*"),INDEX('SL bán theo ngày'!AI$9:AI$82,ROWS($A$11:$A84)),"")</f>
        <v/>
      </c>
      <c r="AG84" s="49" t="str">
        <f t="array" aca="1" ref="AG84" ca="1">IF(ROWS($A$11:$A84)&lt;=COUNTIF('SL bán theo ngày'!$A$9:$A$82,"?*"),INDEX('SL bán theo ngày'!C$9:C$82,ROWS($A$11:$A84)),"")</f>
        <v/>
      </c>
      <c r="AH84" s="74" t="str">
        <f t="array" aca="1" ref="AH84" ca="1">IF(ROWS($A$11:$A84)&lt;=COUNTIF('SL bán theo ngày'!$A$9:$A$82,"?*"),INDEX('SL bán theo ngày'!D$9:D$82,ROWS($A$11:$A84)),"")</f>
        <v/>
      </c>
      <c r="AI84" s="49" t="str">
        <f t="array" aca="1" ref="AI84" ca="1">IF(ROWS($A$11:$A84)&lt;=COUNTIF('SL bán theo ngày'!$A$9:$A$82,"?*"),INDEX('SL bán theo ngày'!E$9:E$82,ROWS($A$11:$A84)),"")</f>
        <v/>
      </c>
      <c r="AJ84" s="49" t="str">
        <f t="array" aca="1" ref="AJ84" ca="1">IF(ROWS($A$11:$A84)&lt;=COUNTIF('SL bán theo ngày'!$A$9:$A$82,"?*"),INDEX('SL bán theo ngày'!AJ$9:AJ$82,ROWS($A$11:$A84)),"")</f>
        <v/>
      </c>
      <c r="AK84" s="49" t="str">
        <f t="array" aca="1" ref="AK84" ca="1">IF(ROWS($A$11:$A84)&lt;=COUNTIF('SL bán theo ngày'!$A$9:$A$82,"?*"),INDEX('SL bán theo ngày'!AK$9:AK$82,ROWS($A$11:$A84)),"")</f>
        <v/>
      </c>
    </row>
    <row r="85" spans="1:37" ht="15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spans="1:37" ht="15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spans="1:37" ht="15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spans="1:37" ht="15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spans="1:37" ht="15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spans="1:37" ht="15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spans="1:37" ht="15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spans="1:37" ht="15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spans="1:37" ht="15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spans="1:37" ht="15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spans="1:37" ht="15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spans="1:37" ht="15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spans="1:37" ht="15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spans="1:37" ht="15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spans="1:37" ht="15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spans="1:37" ht="15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spans="1:37" ht="15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spans="1:37" ht="15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spans="1:37" ht="15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spans="1:37" ht="15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spans="1:37" ht="15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spans="1:37" ht="15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spans="1:37" ht="15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spans="1:37" ht="15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spans="1:37" ht="15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spans="1:37" ht="15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spans="1:37" ht="15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spans="1:37" ht="15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spans="1:37" ht="15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spans="1:37" ht="15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spans="1:37" ht="15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spans="1:37" ht="15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spans="1:37" ht="15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spans="1:37" ht="15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spans="1:37" ht="15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spans="1:37" ht="15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spans="1:37" ht="15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spans="1:37" ht="15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spans="1:37" ht="15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spans="1:37" ht="15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spans="1:37" ht="15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spans="1:37" ht="15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spans="1:37" ht="15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spans="1:37" ht="15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spans="1:37" ht="15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spans="1:37" ht="15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spans="1:37" ht="15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spans="1:37" ht="15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spans="1:37" ht="15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spans="1:37" ht="15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spans="1:37" ht="15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spans="1:37" ht="15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spans="1:37" ht="15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spans="1:37" ht="15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spans="1:37" ht="15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spans="1:37" ht="15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spans="1:37" ht="15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spans="1:37" ht="15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spans="1:37" ht="15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spans="1:37" ht="15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spans="1:37" ht="15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spans="1:37" ht="15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spans="1:37" ht="15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spans="1:37" ht="15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spans="1:37" ht="15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spans="1:37" ht="15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spans="1:37" ht="15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spans="1:37" ht="15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spans="1:37" ht="15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spans="1:37" ht="15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spans="1:37" ht="15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spans="1:37" ht="15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spans="1:37" ht="15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spans="1:37" ht="15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spans="1:37" ht="15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spans="1:37" ht="15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spans="1:37" ht="15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spans="1:37" ht="15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spans="1:37" ht="15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spans="1:37" ht="15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spans="1:37" ht="15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spans="1:37" ht="15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spans="1:37" ht="15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spans="1:37" ht="15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spans="1:37" ht="15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spans="1:37" ht="15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spans="1:37" ht="15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spans="1:37" ht="15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spans="1:37" ht="15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spans="1:37" ht="15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spans="1:37" ht="15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spans="1:37" ht="15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spans="1:37" ht="15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spans="1:37" ht="15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spans="1:37" ht="15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spans="1:37" ht="15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spans="1:37" ht="15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spans="1:37" ht="15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spans="1:37" ht="15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spans="1:37" ht="15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spans="1:37" ht="15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spans="1:37" ht="15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spans="1:37" ht="15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spans="1:37" ht="15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spans="1:37" ht="15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spans="1:37" ht="15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spans="1:37" ht="15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spans="1:37" ht="15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spans="1:37" ht="15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spans="1:37" ht="15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spans="1:37" ht="15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spans="1:37" ht="15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spans="1:37" ht="15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spans="1:37" ht="15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spans="1:37" ht="15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spans="1:37" ht="15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spans="1:37" ht="15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spans="1:37" ht="15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spans="1:37" ht="15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spans="1:37" ht="15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spans="1:37" ht="15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spans="1:37" ht="15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spans="1:37" ht="15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spans="1:37" ht="15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spans="1:37" ht="15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spans="1:37" ht="15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spans="1:37" ht="15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spans="1:37" ht="15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spans="1:37" ht="15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spans="1:37" ht="15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spans="1:37" ht="15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spans="1:37" ht="15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spans="1:37" ht="15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spans="1:37" ht="15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spans="1:37" ht="15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spans="1:37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</row>
    <row r="221" spans="1:37" ht="15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</row>
    <row r="222" spans="1:37" ht="15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</row>
    <row r="223" spans="1:37" ht="15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</row>
    <row r="224" spans="1:37" ht="15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</row>
    <row r="225" spans="1:37" ht="15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</row>
    <row r="226" spans="1:37" ht="15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</row>
    <row r="227" spans="1:37" ht="15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</row>
    <row r="228" spans="1:37" ht="15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</row>
    <row r="229" spans="1:37" ht="15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</row>
    <row r="230" spans="1:37" ht="15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</row>
    <row r="231" spans="1:37" ht="15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</row>
    <row r="232" spans="1:37" ht="15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</row>
    <row r="233" spans="1:37" ht="15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</row>
    <row r="234" spans="1:37" ht="15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</row>
    <row r="235" spans="1:37" ht="15.75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</row>
    <row r="236" spans="1:37" ht="15.75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</row>
    <row r="237" spans="1:37" ht="15.75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</row>
    <row r="238" spans="1:37" ht="15.75" customHeigh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</row>
    <row r="239" spans="1:37" ht="15.75" customHeigh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</row>
    <row r="240" spans="1:37" ht="15.75" customHeigh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</row>
    <row r="241" spans="1:37" ht="15.75" customHeigh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</row>
    <row r="242" spans="1:37" ht="15.75" customHeigh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</row>
    <row r="243" spans="1:37" ht="15.75" customHeigh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</row>
    <row r="244" spans="1:37" ht="15.75" customHeigh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</row>
    <row r="245" spans="1:37" ht="15.75" customHeigh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</row>
    <row r="246" spans="1:37" ht="15.75" customHeigh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</row>
    <row r="247" spans="1:37" ht="15.75" customHeigh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</row>
    <row r="248" spans="1:37" ht="15.75" customHeigh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</row>
    <row r="249" spans="1:37" ht="15.75" customHeigh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</row>
    <row r="250" spans="1:37" ht="15.75" customHeigh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</row>
    <row r="251" spans="1:37" ht="15.75" customHeigh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</row>
    <row r="252" spans="1:37" ht="15.75" customHeigh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</row>
    <row r="253" spans="1:37" ht="15.75" customHeigh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</row>
    <row r="254" spans="1:37" ht="15.75" customHeigh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</row>
    <row r="255" spans="1:37" ht="15.75" customHeigh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</row>
    <row r="256" spans="1:37" ht="15.75" customHeigh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</row>
    <row r="257" spans="1:37" ht="15.75" customHeigh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</row>
    <row r="258" spans="1:37" ht="15.75" customHeigh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</row>
    <row r="259" spans="1:37" ht="15.75" customHeigh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</row>
    <row r="260" spans="1:37" ht="15.75" customHeigh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</row>
    <row r="261" spans="1:37" ht="15.75" customHeight="1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</row>
    <row r="262" spans="1:37" ht="15.75" customHeight="1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</row>
    <row r="263" spans="1:37" ht="15.75" customHeight="1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</row>
    <row r="264" spans="1:37" ht="15.75" customHeight="1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</row>
    <row r="265" spans="1:37" ht="15.75" customHeight="1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</row>
    <row r="266" spans="1:37" ht="15.75" customHeight="1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</row>
    <row r="267" spans="1:37" ht="15.75" customHeight="1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</row>
    <row r="268" spans="1:37" ht="15.75" customHeight="1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</row>
    <row r="269" spans="1:37" ht="15.75" customHeight="1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</row>
    <row r="270" spans="1:37" ht="15.75" customHeight="1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</row>
    <row r="271" spans="1:37" ht="15.75" customHeight="1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</row>
    <row r="272" spans="1:37" ht="15.75" customHeight="1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</row>
    <row r="273" spans="1:37" ht="15.75" customHeight="1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</row>
    <row r="274" spans="1:37" ht="15.75" customHeight="1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</row>
    <row r="275" spans="1:37" ht="15.75" customHeight="1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</row>
    <row r="276" spans="1:37" ht="15.75" customHeight="1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</row>
    <row r="277" spans="1:37" ht="15.75" customHeight="1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</row>
    <row r="278" spans="1:37" ht="15.75" customHeight="1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</row>
    <row r="279" spans="1:37" ht="15.75" customHeight="1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</row>
    <row r="280" spans="1:37" ht="15.75" customHeight="1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</row>
    <row r="281" spans="1:37" ht="15.75" customHeight="1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</row>
    <row r="282" spans="1:37" ht="15.75" customHeight="1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</row>
    <row r="283" spans="1:37" ht="15.75" customHeight="1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</row>
    <row r="284" spans="1:37" ht="15.75" customHeight="1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</row>
    <row r="285" spans="1:37" ht="15.75" customHeight="1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</row>
    <row r="286" spans="1:37" ht="15.75" customHeight="1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</row>
    <row r="287" spans="1:37" ht="15.75" customHeight="1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</row>
    <row r="288" spans="1:37" ht="15.75" customHeight="1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</row>
    <row r="289" spans="1:37" ht="15.75" customHeight="1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</row>
    <row r="290" spans="1:37" ht="15.75" customHeight="1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</row>
    <row r="291" spans="1:37" ht="15.75" customHeight="1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</row>
    <row r="292" spans="1:37" ht="15.75" customHeight="1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</row>
    <row r="293" spans="1:37" ht="15.75" customHeight="1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</row>
    <row r="294" spans="1:37" ht="15.75" customHeight="1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</row>
    <row r="295" spans="1:37" ht="15.75" customHeight="1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</row>
    <row r="296" spans="1:37" ht="15.75" customHeight="1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</row>
    <row r="297" spans="1:37" ht="15.75" customHeight="1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</row>
    <row r="298" spans="1:37" ht="15.75" customHeight="1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</row>
    <row r="299" spans="1:37" ht="15.75" customHeight="1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</row>
    <row r="300" spans="1:37" ht="15.75" customHeight="1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</row>
    <row r="301" spans="1:37" ht="15.75" customHeight="1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</row>
    <row r="302" spans="1:37" ht="15.75" customHeight="1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</row>
    <row r="303" spans="1:37" ht="15.75" customHeight="1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</row>
    <row r="304" spans="1:37" ht="15.75" customHeight="1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</row>
    <row r="305" spans="1:37" ht="15.75" customHeight="1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</row>
    <row r="306" spans="1:37" ht="15.75" customHeight="1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</row>
    <row r="307" spans="1:37" ht="15.75" customHeight="1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</row>
    <row r="308" spans="1:37" ht="15.75" customHeight="1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</row>
    <row r="309" spans="1:37" ht="15.75" customHeight="1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</row>
    <row r="310" spans="1:37" ht="15.75" customHeight="1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</row>
    <row r="311" spans="1:37" ht="15.75" customHeight="1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</row>
    <row r="312" spans="1:37" ht="15.75" customHeight="1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</row>
    <row r="313" spans="1:37" ht="15.75" customHeight="1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</row>
    <row r="314" spans="1:37" ht="15.75" customHeight="1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</row>
    <row r="315" spans="1:37" ht="15.75" customHeight="1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</row>
    <row r="316" spans="1:37" ht="15.75" customHeight="1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</row>
    <row r="317" spans="1:37" ht="15.75" customHeight="1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</row>
    <row r="318" spans="1:37" ht="15.75" customHeight="1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</row>
    <row r="319" spans="1:37" ht="15.75" customHeight="1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</row>
    <row r="320" spans="1:37" ht="15.75" customHeight="1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</row>
    <row r="321" spans="1:37" ht="15.75" customHeight="1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</row>
    <row r="322" spans="1:37" ht="15.75" customHeight="1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</row>
    <row r="323" spans="1:37" ht="15.75" customHeight="1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</row>
    <row r="324" spans="1:37" ht="15.75" customHeight="1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</row>
    <row r="325" spans="1:37" ht="15.75" customHeight="1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</row>
    <row r="326" spans="1:37" ht="15.75" customHeight="1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</row>
    <row r="327" spans="1:37" ht="15.75" customHeight="1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</row>
    <row r="328" spans="1:37" ht="15.75" customHeight="1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</row>
    <row r="329" spans="1:37" ht="15.75" customHeight="1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</row>
    <row r="330" spans="1:37" ht="15.75" customHeight="1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</row>
    <row r="331" spans="1:37" ht="15.75" customHeight="1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</row>
    <row r="332" spans="1:37" ht="15.75" customHeight="1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</row>
    <row r="333" spans="1:37" ht="15.75" customHeight="1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</row>
    <row r="334" spans="1:37" ht="15.75" customHeight="1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</row>
    <row r="335" spans="1:37" ht="15.75" customHeight="1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</row>
    <row r="336" spans="1:37" ht="15.75" customHeight="1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</row>
    <row r="337" spans="1:37" ht="15.75" customHeight="1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</row>
    <row r="338" spans="1:37" ht="15.75" customHeight="1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</row>
    <row r="339" spans="1:37" ht="15.75" customHeight="1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</row>
    <row r="340" spans="1:37" ht="15.75" customHeight="1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</row>
    <row r="341" spans="1:37" ht="15.75" customHeight="1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</row>
    <row r="342" spans="1:37" ht="15.75" customHeight="1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</row>
    <row r="343" spans="1:37" ht="15.75" customHeight="1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</row>
    <row r="344" spans="1:37" ht="15.75" customHeight="1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</row>
    <row r="345" spans="1:37" ht="15.75" customHeight="1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</row>
    <row r="346" spans="1:37" ht="15.75" customHeight="1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</row>
    <row r="347" spans="1:37" ht="15.75" customHeight="1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</row>
    <row r="348" spans="1:37" ht="15.75" customHeight="1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</row>
    <row r="349" spans="1:37" ht="15.75" customHeight="1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</row>
    <row r="350" spans="1:37" ht="15.75" customHeight="1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</row>
    <row r="351" spans="1:37" ht="15.75" customHeight="1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</row>
    <row r="352" spans="1:37" ht="15.75" customHeight="1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</row>
    <row r="353" spans="1:37" ht="15.75" customHeight="1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</row>
    <row r="354" spans="1:37" ht="15.75" customHeight="1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</row>
    <row r="355" spans="1:37" ht="15.75" customHeight="1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</row>
    <row r="356" spans="1:37" ht="15.75" customHeight="1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</row>
    <row r="357" spans="1:37" ht="15.75" customHeight="1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</row>
    <row r="358" spans="1:37" ht="15.75" customHeight="1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</row>
    <row r="359" spans="1:37" ht="15.75" customHeight="1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</row>
    <row r="360" spans="1:37" ht="15.75" customHeight="1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</row>
    <row r="361" spans="1:37" ht="15.75" customHeight="1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</row>
    <row r="362" spans="1:37" ht="15.75" customHeight="1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</row>
    <row r="363" spans="1:37" ht="15.75" customHeight="1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</row>
    <row r="364" spans="1:37" ht="15.75" customHeight="1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</row>
    <row r="365" spans="1:37" ht="15.75" customHeight="1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</row>
    <row r="366" spans="1:37" ht="15.75" customHeight="1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</row>
    <row r="367" spans="1:37" ht="15.75" customHeight="1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</row>
    <row r="368" spans="1:37" ht="15.75" customHeight="1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</row>
    <row r="369" spans="1:37" ht="15.75" customHeight="1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</row>
    <row r="370" spans="1:37" ht="15.75" customHeight="1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</row>
    <row r="371" spans="1:37" ht="15.75" customHeight="1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</row>
    <row r="372" spans="1:37" ht="15.75" customHeight="1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</row>
    <row r="373" spans="1:37" ht="15.75" customHeight="1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</row>
    <row r="374" spans="1:37" ht="15.75" customHeight="1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</row>
    <row r="375" spans="1:37" ht="15.75" customHeight="1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</row>
    <row r="376" spans="1:37" ht="15.75" customHeight="1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</row>
    <row r="377" spans="1:37" ht="15.75" customHeight="1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</row>
    <row r="378" spans="1:37" ht="15.75" customHeight="1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</row>
    <row r="379" spans="1:37" ht="15.75" customHeight="1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</row>
    <row r="380" spans="1:37" ht="15.75" customHeight="1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</row>
    <row r="381" spans="1:37" ht="15.75" customHeight="1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</row>
    <row r="382" spans="1:37" ht="15.75" customHeight="1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</row>
    <row r="383" spans="1:37" ht="15.75" customHeight="1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</row>
    <row r="384" spans="1:37" ht="15.75" customHeight="1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</row>
    <row r="385" spans="1:37" ht="15.75" customHeight="1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</row>
    <row r="386" spans="1:37" ht="15.75" customHeight="1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</row>
    <row r="387" spans="1:37" ht="15.75" customHeight="1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</row>
    <row r="388" spans="1:37" ht="15.75" customHeight="1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</row>
    <row r="389" spans="1:37" ht="15.75" customHeight="1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</row>
    <row r="390" spans="1:37" ht="15.75" customHeight="1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</row>
    <row r="391" spans="1:37" ht="15.75" customHeight="1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</row>
    <row r="392" spans="1:37" ht="15.75" customHeight="1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</row>
    <row r="393" spans="1:37" ht="15.75" customHeight="1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</row>
    <row r="394" spans="1:37" ht="15.75" customHeight="1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</row>
    <row r="395" spans="1:37" ht="15.75" customHeight="1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</row>
    <row r="396" spans="1:37" ht="15.75" customHeight="1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</row>
    <row r="397" spans="1:37" ht="15.75" customHeight="1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</row>
    <row r="398" spans="1:37" ht="15.75" customHeight="1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</row>
    <row r="399" spans="1:37" ht="15.75" customHeight="1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</row>
    <row r="400" spans="1:37" ht="15.75" customHeight="1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</row>
    <row r="401" spans="1:37" ht="15.75" customHeight="1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</row>
    <row r="402" spans="1:37" ht="15.75" customHeight="1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</row>
    <row r="403" spans="1:37" ht="15.75" customHeight="1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</row>
    <row r="404" spans="1:37" ht="15.75" customHeight="1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</row>
    <row r="405" spans="1:37" ht="15.75" customHeight="1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</row>
    <row r="406" spans="1:37" ht="15.75" customHeight="1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</row>
    <row r="407" spans="1:37" ht="15.75" customHeight="1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</row>
    <row r="408" spans="1:37" ht="15.75" customHeight="1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</row>
    <row r="409" spans="1:37" ht="15.75" customHeight="1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</row>
    <row r="410" spans="1:37" ht="15.75" customHeight="1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</row>
    <row r="411" spans="1:37" ht="15.75" customHeight="1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</row>
    <row r="412" spans="1:37" ht="15.75" customHeight="1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</row>
    <row r="413" spans="1:37" ht="15.75" customHeight="1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</row>
    <row r="414" spans="1:37" ht="15.75" customHeight="1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</row>
    <row r="415" spans="1:37" ht="15.75" customHeight="1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</row>
    <row r="416" spans="1:37" ht="15.75" customHeight="1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</row>
    <row r="417" spans="1:37" ht="15.75" customHeight="1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</row>
    <row r="418" spans="1:37" ht="15.75" customHeight="1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</row>
    <row r="419" spans="1:37" ht="15.75" customHeight="1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</row>
    <row r="420" spans="1:37" ht="15.75" customHeight="1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</row>
    <row r="421" spans="1:37" ht="15.75" customHeight="1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</row>
    <row r="422" spans="1:37" ht="15.75" customHeight="1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</row>
    <row r="423" spans="1:37" ht="15.75" customHeight="1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</row>
    <row r="424" spans="1:37" ht="15.75" customHeight="1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</row>
    <row r="425" spans="1:37" ht="15.75" customHeight="1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</row>
    <row r="426" spans="1:37" ht="15.75" customHeight="1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</row>
    <row r="427" spans="1:37" ht="15.75" customHeight="1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</row>
    <row r="428" spans="1:37" ht="15.75" customHeight="1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</row>
    <row r="429" spans="1:37" ht="15.75" customHeight="1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</row>
    <row r="430" spans="1:37" ht="15.75" customHeight="1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</row>
    <row r="431" spans="1:37" ht="15.75" customHeight="1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</row>
    <row r="432" spans="1:37" ht="15.75" customHeight="1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</row>
    <row r="433" spans="1:37" ht="15.75" customHeight="1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</row>
    <row r="434" spans="1:37" ht="15.75" customHeight="1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</row>
    <row r="435" spans="1:37" ht="15.75" customHeight="1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</row>
    <row r="436" spans="1:37" ht="15.75" customHeight="1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</row>
    <row r="437" spans="1:37" ht="15.75" customHeight="1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</row>
    <row r="438" spans="1:37" ht="15.75" customHeight="1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</row>
    <row r="439" spans="1:37" ht="15.75" customHeight="1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</row>
    <row r="440" spans="1:37" ht="15.75" customHeight="1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</row>
    <row r="441" spans="1:37" ht="15.75" customHeight="1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</row>
    <row r="442" spans="1:37" ht="15.75" customHeight="1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</row>
    <row r="443" spans="1:37" ht="15.75" customHeight="1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</row>
    <row r="444" spans="1:37" ht="15.75" customHeight="1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</row>
    <row r="445" spans="1:37" ht="15.75" customHeight="1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</row>
    <row r="446" spans="1:37" ht="15.75" customHeight="1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</row>
    <row r="447" spans="1:37" ht="15.75" customHeight="1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</row>
    <row r="448" spans="1:37" ht="15.75" customHeight="1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</row>
    <row r="449" spans="1:37" ht="15.75" customHeight="1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</row>
    <row r="450" spans="1:37" ht="15.75" customHeight="1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</row>
    <row r="451" spans="1:37" ht="15.75" customHeight="1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</row>
    <row r="452" spans="1:37" ht="15.75" customHeight="1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</row>
    <row r="453" spans="1:37" ht="15.75" customHeight="1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</row>
    <row r="454" spans="1:37" ht="15.75" customHeight="1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</row>
    <row r="455" spans="1:37" ht="15.75" customHeight="1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</row>
    <row r="456" spans="1:37" ht="15.75" customHeight="1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</row>
    <row r="457" spans="1:37" ht="15.75" customHeight="1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</row>
    <row r="458" spans="1:37" ht="15.75" customHeight="1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</row>
    <row r="459" spans="1:37" ht="15.75" customHeight="1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</row>
    <row r="460" spans="1:37" ht="15.75" customHeight="1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</row>
    <row r="461" spans="1:37" ht="15.75" customHeight="1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</row>
    <row r="462" spans="1:37" ht="15.75" customHeight="1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</row>
    <row r="463" spans="1:37" ht="15.75" customHeight="1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</row>
    <row r="464" spans="1:37" ht="15.75" customHeight="1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</row>
    <row r="465" spans="1:37" ht="15.75" customHeight="1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</row>
    <row r="466" spans="1:37" ht="15.75" customHeight="1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</row>
    <row r="467" spans="1:37" ht="15.75" customHeight="1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</row>
    <row r="468" spans="1:37" ht="15.75" customHeight="1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</row>
    <row r="469" spans="1:37" ht="15.75" customHeight="1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</row>
    <row r="470" spans="1:37" ht="15.75" customHeight="1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</row>
    <row r="471" spans="1:37" ht="15.75" customHeight="1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</row>
    <row r="472" spans="1:37" ht="15.75" customHeight="1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</row>
    <row r="473" spans="1:37" ht="15.75" customHeight="1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</row>
    <row r="474" spans="1:37" ht="15.75" customHeight="1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</row>
    <row r="475" spans="1:37" ht="15.75" customHeight="1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</row>
    <row r="476" spans="1:37" ht="15.75" customHeight="1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</row>
    <row r="477" spans="1:37" ht="15.75" customHeight="1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</row>
    <row r="478" spans="1:37" ht="15.75" customHeight="1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</row>
    <row r="479" spans="1:37" ht="15.75" customHeight="1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</row>
    <row r="480" spans="1:37" ht="15.75" customHeight="1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</row>
    <row r="481" spans="1:37" ht="15.75" customHeight="1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</row>
    <row r="482" spans="1:37" ht="15.75" customHeight="1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</row>
    <row r="483" spans="1:37" ht="15.75" customHeight="1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</row>
    <row r="484" spans="1:37" ht="15.75" customHeight="1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</row>
    <row r="485" spans="1:37" ht="15.75" customHeight="1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</row>
    <row r="486" spans="1:37" ht="15.75" customHeight="1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</row>
    <row r="487" spans="1:37" ht="15.75" customHeight="1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</row>
    <row r="488" spans="1:37" ht="15.75" customHeight="1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</row>
    <row r="489" spans="1:37" ht="15.75" customHeight="1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</row>
    <row r="490" spans="1:37" ht="15.75" customHeight="1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</row>
    <row r="491" spans="1:37" ht="15.75" customHeight="1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</row>
    <row r="492" spans="1:37" ht="15.75" customHeight="1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</row>
    <row r="493" spans="1:37" ht="15.75" customHeight="1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</row>
    <row r="494" spans="1:37" ht="15.75" customHeight="1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</row>
    <row r="495" spans="1:37" ht="15.75" customHeight="1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</row>
    <row r="496" spans="1:37" ht="15.75" customHeight="1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</row>
    <row r="497" spans="1:37" ht="15.75" customHeight="1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</row>
    <row r="498" spans="1:37" ht="15.75" customHeight="1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</row>
    <row r="499" spans="1:37" ht="15.75" customHeight="1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</row>
    <row r="500" spans="1:37" ht="15.75" customHeight="1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</row>
    <row r="501" spans="1:37" ht="15.75" customHeight="1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</row>
    <row r="502" spans="1:37" ht="15.75" customHeight="1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</row>
    <row r="503" spans="1:37" ht="15.75" customHeight="1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</row>
    <row r="504" spans="1:37" ht="15.75" customHeight="1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</row>
    <row r="505" spans="1:37" ht="15.75" customHeight="1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</row>
    <row r="506" spans="1:37" ht="15.75" customHeight="1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</row>
    <row r="507" spans="1:37" ht="15.75" customHeight="1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</row>
    <row r="508" spans="1:37" ht="15.75" customHeight="1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</row>
    <row r="509" spans="1:37" ht="15.75" customHeight="1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</row>
    <row r="510" spans="1:37" ht="15.75" customHeight="1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</row>
    <row r="511" spans="1:37" ht="15.75" customHeight="1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</row>
    <row r="512" spans="1:37" ht="15.75" customHeight="1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</row>
    <row r="513" spans="1:37" ht="15.75" customHeight="1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</row>
    <row r="514" spans="1:37" ht="15.75" customHeight="1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</row>
    <row r="515" spans="1:37" ht="15.75" customHeight="1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</row>
    <row r="516" spans="1:37" ht="15.75" customHeight="1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</row>
    <row r="517" spans="1:37" ht="15.75" customHeight="1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</row>
    <row r="518" spans="1:37" ht="15.75" customHeight="1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</row>
    <row r="519" spans="1:37" ht="15.75" customHeight="1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</row>
    <row r="520" spans="1:37" ht="15.75" customHeight="1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</row>
    <row r="521" spans="1:37" ht="15.75" customHeight="1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</row>
    <row r="522" spans="1:37" ht="15.75" customHeight="1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</row>
    <row r="523" spans="1:37" ht="15.75" customHeight="1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</row>
    <row r="524" spans="1:37" ht="15.75" customHeight="1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</row>
    <row r="525" spans="1:37" ht="15.75" customHeight="1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</row>
    <row r="526" spans="1:37" ht="15.75" customHeight="1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</row>
    <row r="527" spans="1:37" ht="15.75" customHeight="1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</row>
    <row r="528" spans="1:37" ht="15.75" customHeight="1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</row>
    <row r="529" spans="1:37" ht="15.75" customHeight="1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</row>
    <row r="530" spans="1:37" ht="15.75" customHeight="1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</row>
    <row r="531" spans="1:37" ht="15.75" customHeight="1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</row>
    <row r="532" spans="1:37" ht="15.75" customHeight="1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</row>
    <row r="533" spans="1:37" ht="15.75" customHeight="1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</row>
    <row r="534" spans="1:37" ht="15.75" customHeight="1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</row>
    <row r="535" spans="1:37" ht="15.75" customHeight="1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</row>
    <row r="536" spans="1:37" ht="15.75" customHeight="1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</row>
    <row r="537" spans="1:37" ht="15.75" customHeight="1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</row>
    <row r="538" spans="1:37" ht="15.75" customHeight="1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</row>
    <row r="539" spans="1:37" ht="15.75" customHeight="1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</row>
    <row r="540" spans="1:37" ht="15.75" customHeight="1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</row>
    <row r="541" spans="1:37" ht="15.75" customHeight="1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</row>
    <row r="542" spans="1:37" ht="15.75" customHeight="1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</row>
    <row r="543" spans="1:37" ht="15.75" customHeight="1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</row>
    <row r="544" spans="1:37" ht="15.75" customHeight="1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</row>
    <row r="545" spans="1:37" ht="15.75" customHeight="1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</row>
    <row r="546" spans="1:37" ht="15.75" customHeight="1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</row>
    <row r="547" spans="1:37" ht="15.75" customHeight="1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</row>
    <row r="548" spans="1:37" ht="15.75" customHeight="1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</row>
    <row r="549" spans="1:37" ht="15.75" customHeight="1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</row>
    <row r="550" spans="1:37" ht="15.75" customHeight="1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</row>
    <row r="551" spans="1:37" ht="15.75" customHeight="1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</row>
    <row r="552" spans="1:37" ht="15.75" customHeight="1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</row>
    <row r="553" spans="1:37" ht="15.75" customHeight="1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</row>
    <row r="554" spans="1:37" ht="15.75" customHeight="1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</row>
    <row r="555" spans="1:37" ht="15.75" customHeight="1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</row>
    <row r="556" spans="1:37" ht="15.75" customHeight="1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</row>
    <row r="557" spans="1:37" ht="15.75" customHeight="1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</row>
    <row r="558" spans="1:37" ht="15.75" customHeight="1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</row>
    <row r="559" spans="1:37" ht="15.75" customHeight="1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</row>
    <row r="560" spans="1:37" ht="15.75" customHeight="1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</row>
    <row r="561" spans="1:37" ht="15.75" customHeight="1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</row>
    <row r="562" spans="1:37" ht="15.75" customHeight="1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</row>
    <row r="563" spans="1:37" ht="15.75" customHeight="1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</row>
    <row r="564" spans="1:37" ht="15.75" customHeight="1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</row>
    <row r="565" spans="1:37" ht="15.75" customHeight="1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</row>
    <row r="566" spans="1:37" ht="15.75" customHeight="1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</row>
    <row r="567" spans="1:37" ht="15.75" customHeight="1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</row>
    <row r="568" spans="1:37" ht="15.75" customHeight="1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</row>
    <row r="569" spans="1:37" ht="15.75" customHeight="1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</row>
    <row r="570" spans="1:37" ht="15.75" customHeight="1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</row>
    <row r="571" spans="1:37" ht="15.75" customHeight="1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</row>
    <row r="572" spans="1:37" ht="15.75" customHeight="1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</row>
    <row r="573" spans="1:37" ht="15.75" customHeight="1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</row>
    <row r="574" spans="1:37" ht="15.75" customHeight="1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</row>
    <row r="575" spans="1:37" ht="15.75" customHeight="1" x14ac:dyDescent="0.2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</row>
    <row r="576" spans="1:37" ht="15.75" customHeight="1" x14ac:dyDescent="0.2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</row>
    <row r="577" spans="1:37" ht="15.75" customHeight="1" x14ac:dyDescent="0.2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</row>
    <row r="578" spans="1:37" ht="15.75" customHeight="1" x14ac:dyDescent="0.2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</row>
    <row r="579" spans="1:37" ht="15.75" customHeight="1" x14ac:dyDescent="0.2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</row>
    <row r="580" spans="1:37" ht="15.75" customHeight="1" x14ac:dyDescent="0.2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</row>
    <row r="581" spans="1:37" ht="15.75" customHeight="1" x14ac:dyDescent="0.2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</row>
    <row r="582" spans="1:37" ht="15.75" customHeight="1" x14ac:dyDescent="0.2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</row>
    <row r="583" spans="1:37" ht="15.75" customHeight="1" x14ac:dyDescent="0.2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</row>
    <row r="584" spans="1:37" ht="15.75" customHeight="1" x14ac:dyDescent="0.2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</row>
    <row r="585" spans="1:37" ht="15.75" customHeight="1" x14ac:dyDescent="0.2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</row>
    <row r="586" spans="1:37" ht="15.75" customHeight="1" x14ac:dyDescent="0.2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</row>
    <row r="587" spans="1:37" ht="15.75" customHeight="1" x14ac:dyDescent="0.2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</row>
    <row r="588" spans="1:37" ht="15.75" customHeight="1" x14ac:dyDescent="0.2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</row>
    <row r="589" spans="1:37" ht="15.75" customHeight="1" x14ac:dyDescent="0.2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</row>
    <row r="590" spans="1:37" ht="15.75" customHeight="1" x14ac:dyDescent="0.2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</row>
    <row r="591" spans="1:37" ht="15.75" customHeight="1" x14ac:dyDescent="0.2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</row>
    <row r="592" spans="1:37" ht="15.75" customHeight="1" x14ac:dyDescent="0.2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</row>
    <row r="593" spans="1:37" ht="15.75" customHeight="1" x14ac:dyDescent="0.2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</row>
    <row r="594" spans="1:37" ht="15.75" customHeight="1" x14ac:dyDescent="0.2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</row>
    <row r="595" spans="1:37" ht="15.75" customHeight="1" x14ac:dyDescent="0.2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</row>
    <row r="596" spans="1:37" ht="15.75" customHeight="1" x14ac:dyDescent="0.2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</row>
    <row r="597" spans="1:37" ht="15.75" customHeight="1" x14ac:dyDescent="0.2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</row>
    <row r="598" spans="1:37" ht="15.75" customHeight="1" x14ac:dyDescent="0.2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</row>
    <row r="599" spans="1:37" ht="15.75" customHeight="1" x14ac:dyDescent="0.2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</row>
    <row r="600" spans="1:37" ht="15.75" customHeight="1" x14ac:dyDescent="0.2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</row>
    <row r="601" spans="1:37" ht="15.75" customHeight="1" x14ac:dyDescent="0.2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</row>
    <row r="602" spans="1:37" ht="15.75" customHeight="1" x14ac:dyDescent="0.2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</row>
    <row r="603" spans="1:37" ht="15.75" customHeight="1" x14ac:dyDescent="0.2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</row>
    <row r="604" spans="1:37" ht="15.75" customHeight="1" x14ac:dyDescent="0.2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</row>
    <row r="605" spans="1:37" ht="15.75" customHeight="1" x14ac:dyDescent="0.2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</row>
    <row r="606" spans="1:37" ht="15.75" customHeight="1" x14ac:dyDescent="0.2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</row>
    <row r="607" spans="1:37" ht="15.75" customHeight="1" x14ac:dyDescent="0.2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</row>
    <row r="608" spans="1:37" ht="15.75" customHeight="1" x14ac:dyDescent="0.2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</row>
    <row r="609" spans="1:37" ht="15.75" customHeight="1" x14ac:dyDescent="0.2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</row>
    <row r="610" spans="1:37" ht="15.75" customHeight="1" x14ac:dyDescent="0.2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</row>
    <row r="611" spans="1:37" ht="15.75" customHeight="1" x14ac:dyDescent="0.2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</row>
    <row r="612" spans="1:37" ht="15.75" customHeight="1" x14ac:dyDescent="0.2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</row>
    <row r="613" spans="1:37" ht="15.75" customHeight="1" x14ac:dyDescent="0.2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</row>
    <row r="614" spans="1:37" ht="15.75" customHeight="1" x14ac:dyDescent="0.2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</row>
    <row r="615" spans="1:37" ht="15.75" customHeight="1" x14ac:dyDescent="0.2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</row>
    <row r="616" spans="1:37" ht="15.75" customHeight="1" x14ac:dyDescent="0.2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</row>
    <row r="617" spans="1:37" ht="15.75" customHeight="1" x14ac:dyDescent="0.2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</row>
    <row r="618" spans="1:37" ht="15.75" customHeight="1" x14ac:dyDescent="0.2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</row>
    <row r="619" spans="1:37" ht="15.75" customHeight="1" x14ac:dyDescent="0.2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</row>
    <row r="620" spans="1:37" ht="15.75" customHeight="1" x14ac:dyDescent="0.2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</row>
    <row r="621" spans="1:37" ht="15.75" customHeight="1" x14ac:dyDescent="0.2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</row>
    <row r="622" spans="1:37" ht="15.75" customHeight="1" x14ac:dyDescent="0.2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</row>
    <row r="623" spans="1:37" ht="15.75" customHeight="1" x14ac:dyDescent="0.2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</row>
    <row r="624" spans="1:37" ht="15.75" customHeight="1" x14ac:dyDescent="0.2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</row>
    <row r="625" spans="1:37" ht="15.75" customHeight="1" x14ac:dyDescent="0.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</row>
    <row r="626" spans="1:37" ht="15.75" customHeight="1" x14ac:dyDescent="0.2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</row>
    <row r="627" spans="1:37" ht="15.75" customHeight="1" x14ac:dyDescent="0.2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</row>
    <row r="628" spans="1:37" ht="15.75" customHeight="1" x14ac:dyDescent="0.2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</row>
    <row r="629" spans="1:37" ht="15.75" customHeight="1" x14ac:dyDescent="0.2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</row>
    <row r="630" spans="1:37" ht="15.75" customHeight="1" x14ac:dyDescent="0.2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</row>
    <row r="631" spans="1:37" ht="15.75" customHeight="1" x14ac:dyDescent="0.2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</row>
    <row r="632" spans="1:37" ht="15.75" customHeight="1" x14ac:dyDescent="0.2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</row>
    <row r="633" spans="1:37" ht="15.75" customHeight="1" x14ac:dyDescent="0.2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</row>
    <row r="634" spans="1:37" ht="15.75" customHeight="1" x14ac:dyDescent="0.2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</row>
    <row r="635" spans="1:37" ht="15.75" customHeight="1" x14ac:dyDescent="0.2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</row>
    <row r="636" spans="1:37" ht="15.75" customHeight="1" x14ac:dyDescent="0.2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</row>
    <row r="637" spans="1:37" ht="15.75" customHeight="1" x14ac:dyDescent="0.2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</row>
    <row r="638" spans="1:37" ht="15.75" customHeight="1" x14ac:dyDescent="0.2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</row>
    <row r="639" spans="1:37" ht="15.75" customHeight="1" x14ac:dyDescent="0.2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</row>
    <row r="640" spans="1:37" ht="15.75" customHeight="1" x14ac:dyDescent="0.2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</row>
    <row r="641" spans="1:37" ht="15.75" customHeight="1" x14ac:dyDescent="0.2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</row>
    <row r="642" spans="1:37" ht="15.75" customHeight="1" x14ac:dyDescent="0.2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</row>
    <row r="643" spans="1:37" ht="15.75" customHeight="1" x14ac:dyDescent="0.2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</row>
    <row r="644" spans="1:37" ht="15.75" customHeight="1" x14ac:dyDescent="0.2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</row>
    <row r="645" spans="1:37" ht="15.75" customHeight="1" x14ac:dyDescent="0.2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</row>
    <row r="646" spans="1:37" ht="15.75" customHeight="1" x14ac:dyDescent="0.2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</row>
    <row r="647" spans="1:37" ht="15.75" customHeight="1" x14ac:dyDescent="0.2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</row>
    <row r="648" spans="1:37" ht="15.75" customHeight="1" x14ac:dyDescent="0.2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</row>
    <row r="649" spans="1:37" ht="15.75" customHeight="1" x14ac:dyDescent="0.2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</row>
    <row r="650" spans="1:37" ht="15.75" customHeight="1" x14ac:dyDescent="0.2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</row>
    <row r="651" spans="1:37" ht="15.75" customHeight="1" x14ac:dyDescent="0.2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</row>
    <row r="652" spans="1:37" ht="15.75" customHeight="1" x14ac:dyDescent="0.2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</row>
    <row r="653" spans="1:37" ht="15.75" customHeight="1" x14ac:dyDescent="0.2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</row>
    <row r="654" spans="1:37" ht="15.75" customHeight="1" x14ac:dyDescent="0.2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</row>
    <row r="655" spans="1:37" ht="15.75" customHeight="1" x14ac:dyDescent="0.2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</row>
    <row r="656" spans="1:37" ht="15.75" customHeight="1" x14ac:dyDescent="0.2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</row>
    <row r="657" spans="1:37" ht="15.75" customHeight="1" x14ac:dyDescent="0.2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</row>
    <row r="658" spans="1:37" ht="15.75" customHeight="1" x14ac:dyDescent="0.2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</row>
    <row r="659" spans="1:37" ht="15.75" customHeight="1" x14ac:dyDescent="0.2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</row>
    <row r="660" spans="1:37" ht="15.75" customHeight="1" x14ac:dyDescent="0.2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</row>
    <row r="661" spans="1:37" ht="15.75" customHeight="1" x14ac:dyDescent="0.2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</row>
    <row r="662" spans="1:37" ht="15.75" customHeight="1" x14ac:dyDescent="0.2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</row>
    <row r="663" spans="1:37" ht="15.75" customHeight="1" x14ac:dyDescent="0.2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</row>
    <row r="664" spans="1:37" ht="15.75" customHeight="1" x14ac:dyDescent="0.2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</row>
    <row r="665" spans="1:37" ht="15.75" customHeight="1" x14ac:dyDescent="0.2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</row>
    <row r="666" spans="1:37" ht="15.75" customHeight="1" x14ac:dyDescent="0.2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</row>
    <row r="667" spans="1:37" ht="15.75" customHeight="1" x14ac:dyDescent="0.2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</row>
    <row r="668" spans="1:37" ht="15.75" customHeight="1" x14ac:dyDescent="0.2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</row>
    <row r="669" spans="1:37" ht="15.75" customHeight="1" x14ac:dyDescent="0.2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</row>
    <row r="670" spans="1:37" ht="15.75" customHeight="1" x14ac:dyDescent="0.2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</row>
    <row r="671" spans="1:37" ht="15.75" customHeight="1" x14ac:dyDescent="0.2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</row>
    <row r="672" spans="1:37" ht="15.75" customHeight="1" x14ac:dyDescent="0.2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</row>
    <row r="673" spans="1:37" ht="15.75" customHeight="1" x14ac:dyDescent="0.2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</row>
    <row r="674" spans="1:37" ht="15.75" customHeight="1" x14ac:dyDescent="0.2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</row>
    <row r="675" spans="1:37" ht="15.75" customHeight="1" x14ac:dyDescent="0.2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</row>
    <row r="676" spans="1:37" ht="15.75" customHeight="1" x14ac:dyDescent="0.2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</row>
    <row r="677" spans="1:37" ht="15.75" customHeight="1" x14ac:dyDescent="0.2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</row>
    <row r="678" spans="1:37" ht="15.75" customHeight="1" x14ac:dyDescent="0.2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</row>
    <row r="679" spans="1:37" ht="15.75" customHeight="1" x14ac:dyDescent="0.2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</row>
    <row r="680" spans="1:37" ht="15.75" customHeight="1" x14ac:dyDescent="0.2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</row>
    <row r="681" spans="1:37" ht="15.75" customHeight="1" x14ac:dyDescent="0.2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</row>
    <row r="682" spans="1:37" ht="15.75" customHeight="1" x14ac:dyDescent="0.2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</row>
    <row r="683" spans="1:37" ht="15.75" customHeight="1" x14ac:dyDescent="0.2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</row>
    <row r="684" spans="1:37" ht="15.75" customHeight="1" x14ac:dyDescent="0.2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</row>
    <row r="685" spans="1:37" ht="15.75" customHeight="1" x14ac:dyDescent="0.2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</row>
    <row r="686" spans="1:37" ht="15.75" customHeight="1" x14ac:dyDescent="0.2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</row>
    <row r="687" spans="1:37" ht="15.75" customHeight="1" x14ac:dyDescent="0.2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</row>
    <row r="688" spans="1:37" ht="15.75" customHeight="1" x14ac:dyDescent="0.2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</row>
    <row r="689" spans="1:37" ht="15.75" customHeight="1" x14ac:dyDescent="0.2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</row>
    <row r="690" spans="1:37" ht="15.75" customHeight="1" x14ac:dyDescent="0.2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</row>
    <row r="691" spans="1:37" ht="15.75" customHeight="1" x14ac:dyDescent="0.2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</row>
    <row r="692" spans="1:37" ht="15.75" customHeight="1" x14ac:dyDescent="0.2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</row>
    <row r="693" spans="1:37" ht="15.75" customHeight="1" x14ac:dyDescent="0.2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</row>
    <row r="694" spans="1:37" ht="15.75" customHeight="1" x14ac:dyDescent="0.2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</row>
    <row r="695" spans="1:37" ht="15.75" customHeight="1" x14ac:dyDescent="0.2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</row>
    <row r="696" spans="1:37" ht="15.75" customHeight="1" x14ac:dyDescent="0.2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</row>
    <row r="697" spans="1:37" ht="15.75" customHeight="1" x14ac:dyDescent="0.2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</row>
    <row r="698" spans="1:37" ht="15.75" customHeight="1" x14ac:dyDescent="0.2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</row>
    <row r="699" spans="1:37" ht="15.75" customHeight="1" x14ac:dyDescent="0.2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</row>
    <row r="700" spans="1:37" ht="15.75" customHeight="1" x14ac:dyDescent="0.2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</row>
    <row r="701" spans="1:37" ht="15.75" customHeight="1" x14ac:dyDescent="0.2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</row>
    <row r="702" spans="1:37" ht="15.75" customHeight="1" x14ac:dyDescent="0.2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</row>
    <row r="703" spans="1:37" ht="15.75" customHeight="1" x14ac:dyDescent="0.2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</row>
    <row r="704" spans="1:37" ht="15.75" customHeight="1" x14ac:dyDescent="0.2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</row>
    <row r="705" spans="1:37" ht="15.75" customHeight="1" x14ac:dyDescent="0.2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</row>
    <row r="706" spans="1:37" ht="15.75" customHeight="1" x14ac:dyDescent="0.2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</row>
    <row r="707" spans="1:37" ht="15.75" customHeight="1" x14ac:dyDescent="0.2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</row>
    <row r="708" spans="1:37" ht="15.75" customHeight="1" x14ac:dyDescent="0.2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</row>
    <row r="709" spans="1:37" ht="15.75" customHeight="1" x14ac:dyDescent="0.2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</row>
    <row r="710" spans="1:37" ht="15.75" customHeight="1" x14ac:dyDescent="0.2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</row>
    <row r="711" spans="1:37" ht="15.75" customHeight="1" x14ac:dyDescent="0.2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</row>
    <row r="712" spans="1:37" ht="15.75" customHeight="1" x14ac:dyDescent="0.2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</row>
    <row r="713" spans="1:37" ht="15.75" customHeight="1" x14ac:dyDescent="0.2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</row>
    <row r="714" spans="1:37" ht="15.75" customHeight="1" x14ac:dyDescent="0.2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</row>
    <row r="715" spans="1:37" ht="15.75" customHeight="1" x14ac:dyDescent="0.2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</row>
    <row r="716" spans="1:37" ht="15.75" customHeight="1" x14ac:dyDescent="0.2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</row>
    <row r="717" spans="1:37" ht="15.75" customHeight="1" x14ac:dyDescent="0.2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</row>
    <row r="718" spans="1:37" ht="15.75" customHeight="1" x14ac:dyDescent="0.2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</row>
    <row r="719" spans="1:37" ht="15.75" customHeight="1" x14ac:dyDescent="0.2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</row>
    <row r="720" spans="1:37" ht="15.75" customHeight="1" x14ac:dyDescent="0.2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</row>
    <row r="721" spans="1:37" ht="15.75" customHeight="1" x14ac:dyDescent="0.2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</row>
    <row r="722" spans="1:37" ht="15.75" customHeight="1" x14ac:dyDescent="0.2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</row>
    <row r="723" spans="1:37" ht="15.75" customHeight="1" x14ac:dyDescent="0.2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</row>
    <row r="724" spans="1:37" ht="15.75" customHeight="1" x14ac:dyDescent="0.2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</row>
    <row r="725" spans="1:37" ht="15.75" customHeight="1" x14ac:dyDescent="0.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</row>
    <row r="726" spans="1:37" ht="15.75" customHeight="1" x14ac:dyDescent="0.2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</row>
    <row r="727" spans="1:37" ht="15.75" customHeight="1" x14ac:dyDescent="0.2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</row>
    <row r="728" spans="1:37" ht="15.75" customHeight="1" x14ac:dyDescent="0.2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</row>
    <row r="729" spans="1:37" ht="15.75" customHeight="1" x14ac:dyDescent="0.2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</row>
    <row r="730" spans="1:37" ht="15.75" customHeight="1" x14ac:dyDescent="0.2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</row>
    <row r="731" spans="1:37" ht="15.75" customHeight="1" x14ac:dyDescent="0.2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</row>
    <row r="732" spans="1:37" ht="15.75" customHeight="1" x14ac:dyDescent="0.2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</row>
    <row r="733" spans="1:37" ht="15.75" customHeight="1" x14ac:dyDescent="0.2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</row>
    <row r="734" spans="1:37" ht="15.75" customHeight="1" x14ac:dyDescent="0.2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</row>
    <row r="735" spans="1:37" ht="15.75" customHeight="1" x14ac:dyDescent="0.2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</row>
    <row r="736" spans="1:37" ht="15.75" customHeight="1" x14ac:dyDescent="0.2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</row>
    <row r="737" spans="1:37" ht="15.75" customHeight="1" x14ac:dyDescent="0.2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</row>
    <row r="738" spans="1:37" ht="15.75" customHeight="1" x14ac:dyDescent="0.2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</row>
    <row r="739" spans="1:37" ht="15.75" customHeight="1" x14ac:dyDescent="0.2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</row>
    <row r="740" spans="1:37" ht="15.75" customHeight="1" x14ac:dyDescent="0.2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</row>
    <row r="741" spans="1:37" ht="15.75" customHeight="1" x14ac:dyDescent="0.2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</row>
    <row r="742" spans="1:37" ht="15.75" customHeight="1" x14ac:dyDescent="0.2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</row>
    <row r="743" spans="1:37" ht="15.75" customHeight="1" x14ac:dyDescent="0.2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</row>
    <row r="744" spans="1:37" ht="15.75" customHeight="1" x14ac:dyDescent="0.2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</row>
    <row r="745" spans="1:37" ht="15.75" customHeight="1" x14ac:dyDescent="0.2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</row>
    <row r="746" spans="1:37" ht="15.75" customHeight="1" x14ac:dyDescent="0.2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</row>
    <row r="747" spans="1:37" ht="15.75" customHeight="1" x14ac:dyDescent="0.2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</row>
    <row r="748" spans="1:37" ht="15.75" customHeight="1" x14ac:dyDescent="0.2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</row>
    <row r="749" spans="1:37" ht="15.75" customHeight="1" x14ac:dyDescent="0.2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</row>
    <row r="750" spans="1:37" ht="15.75" customHeight="1" x14ac:dyDescent="0.2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</row>
    <row r="751" spans="1:37" ht="15.75" customHeight="1" x14ac:dyDescent="0.2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</row>
    <row r="752" spans="1:37" ht="15.75" customHeight="1" x14ac:dyDescent="0.2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</row>
    <row r="753" spans="1:37" ht="15.75" customHeight="1" x14ac:dyDescent="0.2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</row>
    <row r="754" spans="1:37" ht="15.75" customHeight="1" x14ac:dyDescent="0.2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</row>
    <row r="755" spans="1:37" ht="15.75" customHeight="1" x14ac:dyDescent="0.2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</row>
    <row r="756" spans="1:37" ht="15.75" customHeight="1" x14ac:dyDescent="0.2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</row>
    <row r="757" spans="1:37" ht="15.75" customHeight="1" x14ac:dyDescent="0.2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</row>
    <row r="758" spans="1:37" ht="15.75" customHeight="1" x14ac:dyDescent="0.2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</row>
    <row r="759" spans="1:37" ht="15.75" customHeight="1" x14ac:dyDescent="0.2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</row>
    <row r="760" spans="1:37" ht="15.75" customHeight="1" x14ac:dyDescent="0.2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</row>
    <row r="761" spans="1:37" ht="15.75" customHeight="1" x14ac:dyDescent="0.2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</row>
    <row r="762" spans="1:37" ht="15.75" customHeight="1" x14ac:dyDescent="0.2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</row>
    <row r="763" spans="1:37" ht="15.75" customHeight="1" x14ac:dyDescent="0.2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</row>
    <row r="764" spans="1:37" ht="15.75" customHeight="1" x14ac:dyDescent="0.2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</row>
    <row r="765" spans="1:37" ht="15.75" customHeight="1" x14ac:dyDescent="0.2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</row>
    <row r="766" spans="1:37" ht="15.75" customHeight="1" x14ac:dyDescent="0.2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</row>
    <row r="767" spans="1:37" ht="15.75" customHeight="1" x14ac:dyDescent="0.2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</row>
    <row r="768" spans="1:37" ht="15.75" customHeight="1" x14ac:dyDescent="0.2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</row>
    <row r="769" spans="1:37" ht="15.75" customHeight="1" x14ac:dyDescent="0.2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</row>
    <row r="770" spans="1:37" ht="15.75" customHeight="1" x14ac:dyDescent="0.2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</row>
    <row r="771" spans="1:37" ht="15.75" customHeight="1" x14ac:dyDescent="0.2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</row>
    <row r="772" spans="1:37" ht="15.75" customHeight="1" x14ac:dyDescent="0.2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</row>
    <row r="773" spans="1:37" ht="15.75" customHeight="1" x14ac:dyDescent="0.2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</row>
    <row r="774" spans="1:37" ht="15.75" customHeight="1" x14ac:dyDescent="0.2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</row>
    <row r="775" spans="1:37" ht="15.75" customHeight="1" x14ac:dyDescent="0.2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</row>
    <row r="776" spans="1:37" ht="15.75" customHeight="1" x14ac:dyDescent="0.2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</row>
    <row r="777" spans="1:37" ht="15.75" customHeight="1" x14ac:dyDescent="0.2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</row>
    <row r="778" spans="1:37" ht="15.75" customHeight="1" x14ac:dyDescent="0.2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</row>
    <row r="779" spans="1:37" ht="15.75" customHeight="1" x14ac:dyDescent="0.2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</row>
    <row r="780" spans="1:37" ht="15.75" customHeight="1" x14ac:dyDescent="0.2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</row>
    <row r="781" spans="1:37" ht="15.75" customHeight="1" x14ac:dyDescent="0.2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</row>
    <row r="782" spans="1:37" ht="15.75" customHeight="1" x14ac:dyDescent="0.2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</row>
    <row r="783" spans="1:37" ht="15.75" customHeight="1" x14ac:dyDescent="0.2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</row>
    <row r="784" spans="1:37" ht="15.75" customHeight="1" x14ac:dyDescent="0.2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</row>
    <row r="785" spans="1:37" ht="15.75" customHeight="1" x14ac:dyDescent="0.2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</row>
    <row r="786" spans="1:37" ht="15.75" customHeight="1" x14ac:dyDescent="0.2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</row>
    <row r="787" spans="1:37" ht="15.75" customHeight="1" x14ac:dyDescent="0.2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</row>
    <row r="788" spans="1:37" ht="15.75" customHeight="1" x14ac:dyDescent="0.2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</row>
    <row r="789" spans="1:37" ht="15.75" customHeight="1" x14ac:dyDescent="0.2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</row>
    <row r="790" spans="1:37" ht="15.75" customHeight="1" x14ac:dyDescent="0.2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</row>
    <row r="791" spans="1:37" ht="15.75" customHeight="1" x14ac:dyDescent="0.2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</row>
    <row r="792" spans="1:37" ht="15.75" customHeight="1" x14ac:dyDescent="0.2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</row>
    <row r="793" spans="1:37" ht="15.75" customHeight="1" x14ac:dyDescent="0.2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</row>
    <row r="794" spans="1:37" ht="15.75" customHeight="1" x14ac:dyDescent="0.2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</row>
    <row r="795" spans="1:37" ht="15.75" customHeight="1" x14ac:dyDescent="0.2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</row>
    <row r="796" spans="1:37" ht="15.75" customHeight="1" x14ac:dyDescent="0.2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</row>
    <row r="797" spans="1:37" ht="15.75" customHeight="1" x14ac:dyDescent="0.2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</row>
    <row r="798" spans="1:37" ht="15.75" customHeight="1" x14ac:dyDescent="0.2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</row>
    <row r="799" spans="1:37" ht="15.75" customHeight="1" x14ac:dyDescent="0.2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</row>
    <row r="800" spans="1:37" ht="15.75" customHeight="1" x14ac:dyDescent="0.2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</row>
    <row r="801" spans="1:37" ht="15.75" customHeight="1" x14ac:dyDescent="0.2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</row>
    <row r="802" spans="1:37" ht="15.75" customHeight="1" x14ac:dyDescent="0.2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</row>
    <row r="803" spans="1:37" ht="15.75" customHeight="1" x14ac:dyDescent="0.2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</row>
    <row r="804" spans="1:37" ht="15.75" customHeight="1" x14ac:dyDescent="0.2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</row>
    <row r="805" spans="1:37" ht="15.75" customHeight="1" x14ac:dyDescent="0.2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</row>
    <row r="806" spans="1:37" ht="15.75" customHeight="1" x14ac:dyDescent="0.2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</row>
    <row r="807" spans="1:37" ht="15.75" customHeight="1" x14ac:dyDescent="0.2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</row>
    <row r="808" spans="1:37" ht="15.75" customHeight="1" x14ac:dyDescent="0.2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</row>
    <row r="809" spans="1:37" ht="15.75" customHeight="1" x14ac:dyDescent="0.2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</row>
    <row r="810" spans="1:37" ht="15.75" customHeight="1" x14ac:dyDescent="0.2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</row>
    <row r="811" spans="1:37" ht="15.75" customHeight="1" x14ac:dyDescent="0.2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</row>
    <row r="812" spans="1:37" ht="15.75" customHeight="1" x14ac:dyDescent="0.2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</row>
    <row r="813" spans="1:37" ht="15.75" customHeight="1" x14ac:dyDescent="0.2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</row>
    <row r="814" spans="1:37" ht="15.75" customHeight="1" x14ac:dyDescent="0.2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</row>
    <row r="815" spans="1:37" ht="15.75" customHeight="1" x14ac:dyDescent="0.2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</row>
    <row r="816" spans="1:37" ht="15.75" customHeight="1" x14ac:dyDescent="0.2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</row>
    <row r="817" spans="1:37" ht="15.75" customHeight="1" x14ac:dyDescent="0.2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</row>
    <row r="818" spans="1:37" ht="15.75" customHeight="1" x14ac:dyDescent="0.2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</row>
    <row r="819" spans="1:37" ht="15.75" customHeight="1" x14ac:dyDescent="0.2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</row>
    <row r="820" spans="1:37" ht="15.75" customHeight="1" x14ac:dyDescent="0.2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</row>
    <row r="821" spans="1:37" ht="15.75" customHeight="1" x14ac:dyDescent="0.2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</row>
    <row r="822" spans="1:37" ht="15.75" customHeight="1" x14ac:dyDescent="0.2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</row>
    <row r="823" spans="1:37" ht="15.75" customHeight="1" x14ac:dyDescent="0.2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</row>
    <row r="824" spans="1:37" ht="15.75" customHeight="1" x14ac:dyDescent="0.2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</row>
    <row r="825" spans="1:37" ht="15.75" customHeight="1" x14ac:dyDescent="0.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</row>
    <row r="826" spans="1:37" ht="15.75" customHeight="1" x14ac:dyDescent="0.2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</row>
    <row r="827" spans="1:37" ht="15.75" customHeight="1" x14ac:dyDescent="0.2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</row>
    <row r="828" spans="1:37" ht="15.75" customHeight="1" x14ac:dyDescent="0.2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</row>
    <row r="829" spans="1:37" ht="15.75" customHeight="1" x14ac:dyDescent="0.2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</row>
    <row r="830" spans="1:37" ht="15.75" customHeight="1" x14ac:dyDescent="0.2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</row>
    <row r="831" spans="1:37" ht="15.75" customHeight="1" x14ac:dyDescent="0.2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</row>
    <row r="832" spans="1:37" ht="15.75" customHeight="1" x14ac:dyDescent="0.2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</row>
    <row r="833" spans="1:37" ht="15.75" customHeight="1" x14ac:dyDescent="0.2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</row>
    <row r="834" spans="1:37" ht="15.75" customHeight="1" x14ac:dyDescent="0.2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</row>
    <row r="835" spans="1:37" ht="15.75" customHeight="1" x14ac:dyDescent="0.2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</row>
    <row r="836" spans="1:37" ht="15.75" customHeight="1" x14ac:dyDescent="0.2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</row>
    <row r="837" spans="1:37" ht="15.75" customHeight="1" x14ac:dyDescent="0.2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</row>
    <row r="838" spans="1:37" ht="15.75" customHeight="1" x14ac:dyDescent="0.2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</row>
    <row r="839" spans="1:37" ht="15.75" customHeight="1" x14ac:dyDescent="0.2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</row>
    <row r="840" spans="1:37" ht="15.75" customHeight="1" x14ac:dyDescent="0.2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</row>
    <row r="841" spans="1:37" ht="15.75" customHeight="1" x14ac:dyDescent="0.2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</row>
    <row r="842" spans="1:37" ht="15.75" customHeight="1" x14ac:dyDescent="0.2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</row>
    <row r="843" spans="1:37" ht="15.75" customHeight="1" x14ac:dyDescent="0.2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</row>
    <row r="844" spans="1:37" ht="15.75" customHeight="1" x14ac:dyDescent="0.2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</row>
    <row r="845" spans="1:37" ht="15.75" customHeight="1" x14ac:dyDescent="0.2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</row>
    <row r="846" spans="1:37" ht="15.75" customHeight="1" x14ac:dyDescent="0.2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</row>
    <row r="847" spans="1:37" ht="15.75" customHeight="1" x14ac:dyDescent="0.2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</row>
    <row r="848" spans="1:37" ht="15.75" customHeight="1" x14ac:dyDescent="0.2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</row>
    <row r="849" spans="1:37" ht="15.75" customHeight="1" x14ac:dyDescent="0.2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</row>
    <row r="850" spans="1:37" ht="15.75" customHeight="1" x14ac:dyDescent="0.2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</row>
    <row r="851" spans="1:37" ht="15.75" customHeight="1" x14ac:dyDescent="0.2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</row>
    <row r="852" spans="1:37" ht="15.75" customHeight="1" x14ac:dyDescent="0.2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</row>
    <row r="853" spans="1:37" ht="15.75" customHeight="1" x14ac:dyDescent="0.2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</row>
    <row r="854" spans="1:37" ht="15.75" customHeight="1" x14ac:dyDescent="0.2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</row>
    <row r="855" spans="1:37" ht="15.75" customHeight="1" x14ac:dyDescent="0.2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</row>
    <row r="856" spans="1:37" ht="15.75" customHeight="1" x14ac:dyDescent="0.2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</row>
    <row r="857" spans="1:37" ht="15.75" customHeight="1" x14ac:dyDescent="0.2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</row>
    <row r="858" spans="1:37" ht="15.75" customHeight="1" x14ac:dyDescent="0.2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</row>
    <row r="859" spans="1:37" ht="15.75" customHeight="1" x14ac:dyDescent="0.2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</row>
    <row r="860" spans="1:37" ht="15.75" customHeight="1" x14ac:dyDescent="0.2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</row>
    <row r="861" spans="1:37" ht="15.75" customHeight="1" x14ac:dyDescent="0.2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</row>
    <row r="862" spans="1:37" ht="15.75" customHeight="1" x14ac:dyDescent="0.2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</row>
    <row r="863" spans="1:37" ht="15.75" customHeight="1" x14ac:dyDescent="0.2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</row>
    <row r="864" spans="1:37" ht="15.75" customHeight="1" x14ac:dyDescent="0.2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</row>
    <row r="865" spans="1:37" ht="15.75" customHeight="1" x14ac:dyDescent="0.2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</row>
    <row r="866" spans="1:37" ht="15.75" customHeight="1" x14ac:dyDescent="0.2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</row>
    <row r="867" spans="1:37" ht="15.75" customHeight="1" x14ac:dyDescent="0.2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</row>
    <row r="868" spans="1:37" ht="15.75" customHeight="1" x14ac:dyDescent="0.2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</row>
    <row r="869" spans="1:37" ht="15.75" customHeight="1" x14ac:dyDescent="0.2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</row>
    <row r="870" spans="1:37" ht="15.75" customHeight="1" x14ac:dyDescent="0.2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</row>
    <row r="871" spans="1:37" ht="15.75" customHeight="1" x14ac:dyDescent="0.2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</row>
    <row r="872" spans="1:37" ht="15.75" customHeight="1" x14ac:dyDescent="0.2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</row>
    <row r="873" spans="1:37" ht="15.75" customHeight="1" x14ac:dyDescent="0.2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</row>
    <row r="874" spans="1:37" ht="15.75" customHeight="1" x14ac:dyDescent="0.2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</row>
    <row r="875" spans="1:37" ht="15.75" customHeight="1" x14ac:dyDescent="0.2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</row>
    <row r="876" spans="1:37" ht="15.75" customHeight="1" x14ac:dyDescent="0.2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</row>
    <row r="877" spans="1:37" ht="15.75" customHeight="1" x14ac:dyDescent="0.2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</row>
    <row r="878" spans="1:37" ht="15.75" customHeight="1" x14ac:dyDescent="0.2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</row>
    <row r="879" spans="1:37" ht="15.75" customHeight="1" x14ac:dyDescent="0.2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</row>
    <row r="880" spans="1:37" ht="15.75" customHeight="1" x14ac:dyDescent="0.2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</row>
    <row r="881" spans="1:37" ht="15.75" customHeight="1" x14ac:dyDescent="0.2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</row>
    <row r="882" spans="1:37" ht="15.75" customHeight="1" x14ac:dyDescent="0.2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</row>
    <row r="883" spans="1:37" ht="15.75" customHeight="1" x14ac:dyDescent="0.2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</row>
    <row r="884" spans="1:37" ht="15.75" customHeight="1" x14ac:dyDescent="0.2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</row>
    <row r="885" spans="1:37" ht="15.75" customHeight="1" x14ac:dyDescent="0.2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</row>
    <row r="886" spans="1:37" ht="15.75" customHeight="1" x14ac:dyDescent="0.2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</row>
    <row r="887" spans="1:37" ht="15.75" customHeight="1" x14ac:dyDescent="0.2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</row>
    <row r="888" spans="1:37" ht="15.75" customHeight="1" x14ac:dyDescent="0.2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</row>
    <row r="889" spans="1:37" ht="15.75" customHeight="1" x14ac:dyDescent="0.2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</row>
    <row r="890" spans="1:37" ht="15.75" customHeight="1" x14ac:dyDescent="0.2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</row>
    <row r="891" spans="1:37" ht="15.75" customHeight="1" x14ac:dyDescent="0.2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</row>
    <row r="892" spans="1:37" ht="15.75" customHeight="1" x14ac:dyDescent="0.2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</row>
    <row r="893" spans="1:37" ht="15.75" customHeight="1" x14ac:dyDescent="0.2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</row>
    <row r="894" spans="1:37" ht="15.75" customHeight="1" x14ac:dyDescent="0.2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</row>
    <row r="895" spans="1:37" ht="15.75" customHeight="1" x14ac:dyDescent="0.2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</row>
    <row r="896" spans="1:37" ht="15.75" customHeight="1" x14ac:dyDescent="0.2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</row>
    <row r="897" spans="1:37" ht="15.75" customHeight="1" x14ac:dyDescent="0.2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</row>
    <row r="898" spans="1:37" ht="15.75" customHeight="1" x14ac:dyDescent="0.2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</row>
    <row r="899" spans="1:37" ht="15.75" customHeight="1" x14ac:dyDescent="0.2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</row>
    <row r="900" spans="1:37" ht="15.75" customHeight="1" x14ac:dyDescent="0.2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</row>
    <row r="901" spans="1:37" ht="15.75" customHeight="1" x14ac:dyDescent="0.2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</row>
    <row r="902" spans="1:37" ht="15.75" customHeight="1" x14ac:dyDescent="0.2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</row>
    <row r="903" spans="1:37" ht="15.75" customHeight="1" x14ac:dyDescent="0.2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</row>
    <row r="904" spans="1:37" ht="15.75" customHeight="1" x14ac:dyDescent="0.2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</row>
    <row r="905" spans="1:37" ht="15.75" customHeight="1" x14ac:dyDescent="0.2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</row>
    <row r="906" spans="1:37" ht="15.75" customHeight="1" x14ac:dyDescent="0.2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</row>
    <row r="907" spans="1:37" ht="15.75" customHeight="1" x14ac:dyDescent="0.2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</row>
    <row r="908" spans="1:37" ht="15.75" customHeight="1" x14ac:dyDescent="0.2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</row>
    <row r="909" spans="1:37" ht="15.75" customHeight="1" x14ac:dyDescent="0.2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</row>
    <row r="910" spans="1:37" ht="15.75" customHeight="1" x14ac:dyDescent="0.2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</row>
    <row r="911" spans="1:37" ht="15.75" customHeight="1" x14ac:dyDescent="0.2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</row>
    <row r="912" spans="1:37" ht="15.75" customHeight="1" x14ac:dyDescent="0.2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</row>
    <row r="913" spans="1:37" ht="15.75" customHeight="1" x14ac:dyDescent="0.2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</row>
    <row r="914" spans="1:37" ht="15.75" customHeight="1" x14ac:dyDescent="0.2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</row>
    <row r="915" spans="1:37" ht="15.75" customHeight="1" x14ac:dyDescent="0.2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</row>
    <row r="916" spans="1:37" ht="15.75" customHeight="1" x14ac:dyDescent="0.2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</row>
    <row r="917" spans="1:37" ht="15.75" customHeight="1" x14ac:dyDescent="0.2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</row>
    <row r="918" spans="1:37" ht="15.75" customHeight="1" x14ac:dyDescent="0.2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</row>
    <row r="919" spans="1:37" ht="15.75" customHeight="1" x14ac:dyDescent="0.2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</row>
    <row r="920" spans="1:37" ht="15.75" customHeight="1" x14ac:dyDescent="0.2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</row>
    <row r="921" spans="1:37" ht="15.75" customHeight="1" x14ac:dyDescent="0.2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</row>
    <row r="922" spans="1:37" ht="15.75" customHeight="1" x14ac:dyDescent="0.2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</row>
    <row r="923" spans="1:37" ht="15.75" customHeight="1" x14ac:dyDescent="0.2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</row>
    <row r="924" spans="1:37" ht="15.75" customHeight="1" x14ac:dyDescent="0.2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</row>
    <row r="925" spans="1:37" ht="15.75" customHeight="1" x14ac:dyDescent="0.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</row>
    <row r="926" spans="1:37" ht="15.75" customHeight="1" x14ac:dyDescent="0.2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</row>
    <row r="927" spans="1:37" ht="15.75" customHeight="1" x14ac:dyDescent="0.2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</row>
    <row r="928" spans="1:37" ht="15.75" customHeight="1" x14ac:dyDescent="0.2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</row>
    <row r="929" spans="1:37" ht="15.75" customHeight="1" x14ac:dyDescent="0.2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</row>
    <row r="930" spans="1:37" ht="15.75" customHeight="1" x14ac:dyDescent="0.2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</row>
    <row r="931" spans="1:37" ht="15.75" customHeight="1" x14ac:dyDescent="0.2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</row>
    <row r="932" spans="1:37" ht="15.75" customHeight="1" x14ac:dyDescent="0.2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</row>
    <row r="933" spans="1:37" ht="15.75" customHeight="1" x14ac:dyDescent="0.2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</row>
    <row r="934" spans="1:37" ht="15.75" customHeight="1" x14ac:dyDescent="0.2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</row>
    <row r="935" spans="1:37" ht="15.75" customHeight="1" x14ac:dyDescent="0.2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</row>
    <row r="936" spans="1:37" ht="15.75" customHeight="1" x14ac:dyDescent="0.2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</row>
    <row r="937" spans="1:37" ht="15.75" customHeight="1" x14ac:dyDescent="0.2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</row>
    <row r="938" spans="1:37" ht="15.75" customHeight="1" x14ac:dyDescent="0.2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</row>
    <row r="939" spans="1:37" ht="15.75" customHeight="1" x14ac:dyDescent="0.2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</row>
    <row r="940" spans="1:37" ht="15.75" customHeight="1" x14ac:dyDescent="0.2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</row>
    <row r="941" spans="1:37" ht="15.75" customHeight="1" x14ac:dyDescent="0.2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</row>
    <row r="942" spans="1:37" ht="15.75" customHeight="1" x14ac:dyDescent="0.2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</row>
    <row r="943" spans="1:37" ht="15.75" customHeight="1" x14ac:dyDescent="0.2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</row>
    <row r="944" spans="1:37" ht="15.75" customHeight="1" x14ac:dyDescent="0.2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</row>
    <row r="945" spans="1:37" ht="15.75" customHeight="1" x14ac:dyDescent="0.2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</row>
    <row r="946" spans="1:37" ht="15.75" customHeight="1" x14ac:dyDescent="0.2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</row>
    <row r="947" spans="1:37" ht="15.75" customHeight="1" x14ac:dyDescent="0.2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</row>
    <row r="948" spans="1:37" ht="15.75" customHeight="1" x14ac:dyDescent="0.2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</row>
    <row r="949" spans="1:37" ht="15.75" customHeight="1" x14ac:dyDescent="0.2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</row>
    <row r="950" spans="1:37" ht="15.75" customHeight="1" x14ac:dyDescent="0.2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</row>
    <row r="951" spans="1:37" ht="15.75" customHeight="1" x14ac:dyDescent="0.2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</row>
    <row r="952" spans="1:37" ht="15.75" customHeight="1" x14ac:dyDescent="0.2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</row>
    <row r="953" spans="1:37" ht="15.75" customHeight="1" x14ac:dyDescent="0.2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</row>
    <row r="954" spans="1:37" ht="15.75" customHeight="1" x14ac:dyDescent="0.2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</row>
    <row r="955" spans="1:37" ht="15.75" customHeight="1" x14ac:dyDescent="0.2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</row>
    <row r="956" spans="1:37" ht="15.75" customHeight="1" x14ac:dyDescent="0.2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</row>
    <row r="957" spans="1:37" ht="15.75" customHeight="1" x14ac:dyDescent="0.2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</row>
    <row r="958" spans="1:37" ht="15.75" customHeight="1" x14ac:dyDescent="0.2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</row>
    <row r="959" spans="1:37" ht="15.75" customHeight="1" x14ac:dyDescent="0.2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</row>
    <row r="960" spans="1:37" ht="15.75" customHeight="1" x14ac:dyDescent="0.2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</row>
    <row r="961" spans="1:37" ht="15.75" customHeight="1" x14ac:dyDescent="0.2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</row>
    <row r="962" spans="1:37" ht="15.75" customHeight="1" x14ac:dyDescent="0.2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</row>
    <row r="963" spans="1:37" ht="15.75" customHeight="1" x14ac:dyDescent="0.2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</row>
    <row r="964" spans="1:37" ht="15.75" customHeight="1" x14ac:dyDescent="0.2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</row>
    <row r="965" spans="1:37" ht="15.75" customHeight="1" x14ac:dyDescent="0.2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</row>
    <row r="966" spans="1:37" ht="15.75" customHeight="1" x14ac:dyDescent="0.2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</row>
    <row r="967" spans="1:37" ht="15.75" customHeight="1" x14ac:dyDescent="0.2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</row>
    <row r="968" spans="1:37" ht="15.75" customHeight="1" x14ac:dyDescent="0.2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</row>
    <row r="969" spans="1:37" ht="15.75" customHeight="1" x14ac:dyDescent="0.2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</row>
    <row r="970" spans="1:37" ht="15.75" customHeight="1" x14ac:dyDescent="0.2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</row>
    <row r="971" spans="1:37" ht="15.75" customHeight="1" x14ac:dyDescent="0.2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</row>
    <row r="972" spans="1:37" ht="15.75" customHeight="1" x14ac:dyDescent="0.2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</row>
    <row r="973" spans="1:37" ht="15.75" customHeight="1" x14ac:dyDescent="0.2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</row>
    <row r="974" spans="1:37" ht="15.75" customHeight="1" x14ac:dyDescent="0.2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</row>
    <row r="975" spans="1:37" ht="15.75" customHeight="1" x14ac:dyDescent="0.2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</row>
    <row r="976" spans="1:37" ht="15.75" customHeight="1" x14ac:dyDescent="0.2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</row>
    <row r="977" spans="1:37" ht="15.75" customHeight="1" x14ac:dyDescent="0.2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</row>
    <row r="978" spans="1:37" ht="15.75" customHeight="1" x14ac:dyDescent="0.2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</row>
    <row r="979" spans="1:37" ht="15.75" customHeight="1" x14ac:dyDescent="0.2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</row>
    <row r="980" spans="1:37" ht="15.75" customHeight="1" x14ac:dyDescent="0.2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</row>
    <row r="981" spans="1:37" ht="15.75" customHeight="1" x14ac:dyDescent="0.2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</row>
    <row r="982" spans="1:37" ht="15.75" customHeight="1" x14ac:dyDescent="0.2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</row>
    <row r="983" spans="1:37" ht="15.75" customHeight="1" x14ac:dyDescent="0.2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</row>
    <row r="984" spans="1:37" ht="15.75" customHeight="1" x14ac:dyDescent="0.2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</row>
    <row r="985" spans="1:37" ht="15.75" customHeight="1" x14ac:dyDescent="0.2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</row>
    <row r="986" spans="1:37" ht="15.75" customHeight="1" x14ac:dyDescent="0.2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</row>
    <row r="987" spans="1:37" ht="15.75" customHeight="1" x14ac:dyDescent="0.2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</row>
    <row r="988" spans="1:37" ht="15.75" customHeight="1" x14ac:dyDescent="0.2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</row>
    <row r="989" spans="1:37" ht="15.75" customHeight="1" x14ac:dyDescent="0.2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</row>
    <row r="990" spans="1:37" ht="15.75" customHeight="1" x14ac:dyDescent="0.2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</row>
    <row r="991" spans="1:37" ht="15.75" customHeight="1" x14ac:dyDescent="0.2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</row>
    <row r="992" spans="1:37" ht="15.75" customHeight="1" x14ac:dyDescent="0.2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</row>
    <row r="993" spans="1:37" ht="15.75" customHeight="1" x14ac:dyDescent="0.2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</row>
    <row r="994" spans="1:37" ht="15.75" customHeight="1" x14ac:dyDescent="0.2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</row>
    <row r="995" spans="1:37" ht="15.75" customHeight="1" x14ac:dyDescent="0.2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</row>
    <row r="996" spans="1:37" ht="15.75" customHeight="1" x14ac:dyDescent="0.2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</row>
    <row r="997" spans="1:37" ht="15.75" customHeight="1" x14ac:dyDescent="0.2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</row>
    <row r="998" spans="1:37" ht="15.75" customHeight="1" x14ac:dyDescent="0.2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</row>
    <row r="999" spans="1:37" ht="15.75" customHeight="1" x14ac:dyDescent="0.2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</row>
    <row r="1000" spans="1:37" ht="15.75" customHeight="1" x14ac:dyDescent="0.2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</row>
  </sheetData>
  <mergeCells count="13">
    <mergeCell ref="A1:AK1"/>
    <mergeCell ref="C2:D2"/>
    <mergeCell ref="E2:F2"/>
    <mergeCell ref="G2:H2"/>
    <mergeCell ref="C3:D3"/>
    <mergeCell ref="E3:F3"/>
    <mergeCell ref="G3:H3"/>
    <mergeCell ref="A5:B5"/>
    <mergeCell ref="AJ5:AK7"/>
    <mergeCell ref="A6:B6"/>
    <mergeCell ref="A7:B7"/>
    <mergeCell ref="A8:B8"/>
    <mergeCell ref="AJ8:AK8"/>
  </mergeCells>
  <conditionalFormatting sqref="A11:AK84">
    <cfRule type="notContainsBlanks" dxfId="2" priority="1">
      <formula>LEN(TRIM(A11))&gt;0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1000"/>
  <sheetViews>
    <sheetView showGridLines="0" tabSelected="1" workbookViewId="0">
      <pane xSplit="5" ySplit="8" topLeftCell="BO23" activePane="bottomRight" state="frozen"/>
      <selection pane="topRight" activeCell="F1" sqref="F1"/>
      <selection pane="bottomLeft" activeCell="A9" sqref="A9"/>
      <selection pane="bottomRight" activeCell="B4" sqref="B4"/>
    </sheetView>
  </sheetViews>
  <sheetFormatPr defaultColWidth="14.42578125" defaultRowHeight="15" customHeight="1" x14ac:dyDescent="0.25"/>
  <cols>
    <col min="1" max="1" width="15" customWidth="1"/>
    <col min="2" max="2" width="43.5703125" customWidth="1"/>
    <col min="3" max="3" width="11.5703125" customWidth="1"/>
    <col min="4" max="4" width="13.42578125" customWidth="1"/>
    <col min="5" max="5" width="9.5703125" customWidth="1"/>
    <col min="6" max="6" width="11.5703125" customWidth="1"/>
    <col min="7" max="7" width="8.42578125" customWidth="1"/>
    <col min="8" max="10" width="8.5703125" customWidth="1"/>
    <col min="11" max="12" width="8.28515625" customWidth="1"/>
    <col min="13" max="13" width="8.5703125" customWidth="1"/>
    <col min="14" max="14" width="7.85546875" customWidth="1"/>
    <col min="15" max="15" width="8.5703125" customWidth="1"/>
    <col min="16" max="16" width="8.140625" customWidth="1"/>
    <col min="17" max="20" width="8.5703125" customWidth="1"/>
    <col min="21" max="21" width="8.28515625" customWidth="1"/>
    <col min="22" max="22" width="8.5703125" customWidth="1"/>
    <col min="23" max="23" width="8.28515625" customWidth="1"/>
    <col min="24" max="24" width="8.5703125" customWidth="1"/>
    <col min="25" max="26" width="8.28515625" customWidth="1"/>
    <col min="27" max="29" width="8.5703125" customWidth="1"/>
    <col min="30" max="30" width="8.28515625" customWidth="1"/>
    <col min="31" max="32" width="8.5703125" customWidth="1"/>
    <col min="33" max="33" width="8.28515625" customWidth="1"/>
    <col min="34" max="34" width="8.5703125" customWidth="1"/>
    <col min="35" max="35" width="8.140625" customWidth="1"/>
    <col min="36" max="36" width="10.140625" customWidth="1"/>
    <col min="37" max="37" width="8.42578125" customWidth="1"/>
    <col min="38" max="67" width="14.85546875" customWidth="1"/>
    <col min="68" max="68" width="22.140625" customWidth="1"/>
    <col min="69" max="69" width="5.85546875" customWidth="1"/>
    <col min="70" max="70" width="7.42578125" customWidth="1"/>
    <col min="71" max="71" width="8.42578125" customWidth="1"/>
    <col min="72" max="72" width="7.28515625" customWidth="1"/>
    <col min="73" max="73" width="8.5703125" customWidth="1"/>
    <col min="74" max="74" width="7.28515625" customWidth="1"/>
    <col min="75" max="75" width="9.140625" customWidth="1"/>
  </cols>
  <sheetData>
    <row r="1" spans="1:75" ht="18.75" x14ac:dyDescent="0.3">
      <c r="A1" s="109" t="s">
        <v>220</v>
      </c>
      <c r="B1" s="110"/>
      <c r="C1" s="110"/>
      <c r="D1" s="110"/>
      <c r="E1" s="110"/>
      <c r="F1" s="111"/>
    </row>
    <row r="2" spans="1:75" ht="28.5" x14ac:dyDescent="0.25">
      <c r="A2" s="50" t="s">
        <v>29</v>
      </c>
      <c r="B2" s="51">
        <f>'BAO CAO BAN HANG'!B2</f>
        <v>11000000</v>
      </c>
      <c r="C2" s="50" t="s">
        <v>35</v>
      </c>
      <c r="D2" s="51">
        <f ca="1">SUM(F86:AI86)</f>
        <v>10999796</v>
      </c>
      <c r="E2" s="52" t="s">
        <v>45</v>
      </c>
      <c r="F2" s="51">
        <f ca="1">D2-B2</f>
        <v>-204</v>
      </c>
    </row>
    <row r="3" spans="1:75" ht="28.5" x14ac:dyDescent="0.25">
      <c r="A3" s="50" t="s">
        <v>62</v>
      </c>
      <c r="B3" s="115">
        <f>'BAO CAO BAN HANG'!B3</f>
        <v>5</v>
      </c>
      <c r="C3" s="50" t="s">
        <v>65</v>
      </c>
      <c r="D3" s="53">
        <f>'BAO CAO BAN HANG'!E3</f>
        <v>0.01</v>
      </c>
      <c r="E3" s="50" t="s">
        <v>221</v>
      </c>
      <c r="F3" s="54" t="str">
        <f ca="1">IFERROR(__xludf.DUMMYFUNCTION("IFERROR(MIN(FILTER(F84:AI84, F84:AI84&gt;0)), 0)&amp;""–""&amp;MAX(F84:AI84)&amp;"" món"""),"11–13 món")</f>
        <v>11–13 món</v>
      </c>
    </row>
    <row r="4" spans="1:75" x14ac:dyDescent="0.25">
      <c r="A4" s="55"/>
      <c r="B4" s="56"/>
      <c r="C4" s="55"/>
      <c r="D4" s="57"/>
      <c r="E4" s="55"/>
      <c r="F4" s="58"/>
      <c r="G4" s="59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</row>
    <row r="5" spans="1:75" ht="15.75" hidden="1" x14ac:dyDescent="0.25">
      <c r="A5" s="112" t="s">
        <v>222</v>
      </c>
      <c r="B5" s="105"/>
      <c r="C5" s="105"/>
      <c r="D5" s="99"/>
      <c r="E5" s="113">
        <f ca="1">COUNTIF(AJ9:AJ82,"&gt;0")</f>
        <v>14</v>
      </c>
      <c r="F5" s="105"/>
      <c r="G5" s="99"/>
      <c r="H5" s="61">
        <f t="shared" ref="H5:AK5" ca="1" si="0">F84</f>
        <v>14</v>
      </c>
      <c r="I5" s="61">
        <f t="shared" ca="1" si="0"/>
        <v>13</v>
      </c>
      <c r="J5" s="61">
        <f t="shared" ca="1" si="0"/>
        <v>13</v>
      </c>
      <c r="K5" s="61">
        <f t="shared" ca="1" si="0"/>
        <v>13</v>
      </c>
      <c r="L5" s="61">
        <f t="shared" ca="1" si="0"/>
        <v>14</v>
      </c>
      <c r="M5" s="61">
        <f t="shared" si="0"/>
        <v>0</v>
      </c>
      <c r="N5" s="61">
        <f t="shared" si="0"/>
        <v>0</v>
      </c>
      <c r="O5" s="61">
        <f t="shared" si="0"/>
        <v>0</v>
      </c>
      <c r="P5" s="61">
        <f t="shared" si="0"/>
        <v>0</v>
      </c>
      <c r="Q5" s="61">
        <f t="shared" si="0"/>
        <v>0</v>
      </c>
      <c r="R5" s="61">
        <f t="shared" si="0"/>
        <v>0</v>
      </c>
      <c r="S5" s="61">
        <f t="shared" si="0"/>
        <v>0</v>
      </c>
      <c r="T5" s="61">
        <f t="shared" si="0"/>
        <v>0</v>
      </c>
      <c r="U5" s="61">
        <f t="shared" si="0"/>
        <v>0</v>
      </c>
      <c r="V5" s="61">
        <f t="shared" si="0"/>
        <v>0</v>
      </c>
      <c r="W5" s="61">
        <f t="shared" si="0"/>
        <v>0</v>
      </c>
      <c r="X5" s="61">
        <f t="shared" si="0"/>
        <v>0</v>
      </c>
      <c r="Y5" s="61">
        <f t="shared" si="0"/>
        <v>0</v>
      </c>
      <c r="Z5" s="61">
        <f t="shared" si="0"/>
        <v>0</v>
      </c>
      <c r="AA5" s="61">
        <f t="shared" si="0"/>
        <v>0</v>
      </c>
      <c r="AB5" s="61">
        <f t="shared" si="0"/>
        <v>0</v>
      </c>
      <c r="AC5" s="61">
        <f t="shared" si="0"/>
        <v>0</v>
      </c>
      <c r="AD5" s="61">
        <f t="shared" si="0"/>
        <v>0</v>
      </c>
      <c r="AE5" s="61">
        <f t="shared" si="0"/>
        <v>0</v>
      </c>
      <c r="AF5" s="61">
        <f t="shared" si="0"/>
        <v>0</v>
      </c>
      <c r="AG5" s="61">
        <f t="shared" si="0"/>
        <v>0</v>
      </c>
      <c r="AH5" s="61">
        <f t="shared" si="0"/>
        <v>0</v>
      </c>
      <c r="AI5" s="61">
        <f t="shared" si="0"/>
        <v>0</v>
      </c>
      <c r="AJ5" s="61">
        <f t="shared" si="0"/>
        <v>0</v>
      </c>
      <c r="AK5" s="61">
        <f t="shared" si="0"/>
        <v>0</v>
      </c>
    </row>
    <row r="6" spans="1:75" hidden="1" x14ac:dyDescent="0.25">
      <c r="A6" s="112" t="s">
        <v>218</v>
      </c>
      <c r="B6" s="105"/>
      <c r="C6" s="105"/>
      <c r="D6" s="99"/>
      <c r="E6" s="114">
        <f t="shared" ref="E6:E7" ca="1" si="1">AJ85</f>
        <v>2982</v>
      </c>
      <c r="F6" s="105"/>
      <c r="G6" s="99"/>
      <c r="H6" s="62">
        <f t="shared" ref="H6:AK6" ca="1" si="2">F85</f>
        <v>599</v>
      </c>
      <c r="I6" s="63">
        <f t="shared" ca="1" si="2"/>
        <v>598</v>
      </c>
      <c r="J6" s="63">
        <f t="shared" ca="1" si="2"/>
        <v>596</v>
      </c>
      <c r="K6" s="63">
        <f t="shared" ca="1" si="2"/>
        <v>595</v>
      </c>
      <c r="L6" s="63">
        <f t="shared" ca="1" si="2"/>
        <v>594</v>
      </c>
      <c r="M6" s="63">
        <f t="shared" si="2"/>
        <v>0</v>
      </c>
      <c r="N6" s="63">
        <f t="shared" si="2"/>
        <v>0</v>
      </c>
      <c r="O6" s="63">
        <f t="shared" si="2"/>
        <v>0</v>
      </c>
      <c r="P6" s="63">
        <f t="shared" si="2"/>
        <v>0</v>
      </c>
      <c r="Q6" s="63">
        <f t="shared" si="2"/>
        <v>0</v>
      </c>
      <c r="R6" s="63">
        <f t="shared" si="2"/>
        <v>0</v>
      </c>
      <c r="S6" s="63">
        <f t="shared" si="2"/>
        <v>0</v>
      </c>
      <c r="T6" s="63">
        <f t="shared" si="2"/>
        <v>0</v>
      </c>
      <c r="U6" s="63">
        <f t="shared" si="2"/>
        <v>0</v>
      </c>
      <c r="V6" s="63">
        <f t="shared" si="2"/>
        <v>0</v>
      </c>
      <c r="W6" s="63">
        <f t="shared" si="2"/>
        <v>0</v>
      </c>
      <c r="X6" s="63">
        <f t="shared" si="2"/>
        <v>0</v>
      </c>
      <c r="Y6" s="63">
        <f t="shared" si="2"/>
        <v>0</v>
      </c>
      <c r="Z6" s="63">
        <f t="shared" si="2"/>
        <v>0</v>
      </c>
      <c r="AA6" s="63">
        <f t="shared" si="2"/>
        <v>0</v>
      </c>
      <c r="AB6" s="63">
        <f t="shared" si="2"/>
        <v>0</v>
      </c>
      <c r="AC6" s="63">
        <f t="shared" si="2"/>
        <v>0</v>
      </c>
      <c r="AD6" s="63">
        <f t="shared" si="2"/>
        <v>0</v>
      </c>
      <c r="AE6" s="63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>
        <f t="shared" si="2"/>
        <v>0</v>
      </c>
      <c r="AK6" s="63">
        <f t="shared" si="2"/>
        <v>0</v>
      </c>
    </row>
    <row r="7" spans="1:75" ht="17.25" customHeight="1" x14ac:dyDescent="0.25">
      <c r="A7" s="112" t="s">
        <v>223</v>
      </c>
      <c r="B7" s="105"/>
      <c r="C7" s="105"/>
      <c r="D7" s="99"/>
      <c r="E7" s="113">
        <f t="shared" ca="1" si="1"/>
        <v>10999796</v>
      </c>
      <c r="F7" s="105"/>
      <c r="G7" s="99"/>
      <c r="H7" s="61">
        <f t="shared" ref="H7:AK7" ca="1" si="3">F86</f>
        <v>2226118</v>
      </c>
      <c r="I7" s="61">
        <f t="shared" ca="1" si="3"/>
        <v>2198669</v>
      </c>
      <c r="J7" s="61">
        <f t="shared" ca="1" si="3"/>
        <v>2163150</v>
      </c>
      <c r="K7" s="61">
        <f t="shared" ca="1" si="3"/>
        <v>2192892</v>
      </c>
      <c r="L7" s="61">
        <f t="shared" ca="1" si="3"/>
        <v>2218967</v>
      </c>
      <c r="M7" s="61">
        <f t="shared" si="3"/>
        <v>0</v>
      </c>
      <c r="N7" s="61">
        <f t="shared" si="3"/>
        <v>0</v>
      </c>
      <c r="O7" s="61">
        <f t="shared" si="3"/>
        <v>0</v>
      </c>
      <c r="P7" s="61">
        <f t="shared" si="3"/>
        <v>0</v>
      </c>
      <c r="Q7" s="61">
        <f t="shared" si="3"/>
        <v>0</v>
      </c>
      <c r="R7" s="61">
        <f t="shared" si="3"/>
        <v>0</v>
      </c>
      <c r="S7" s="61">
        <f t="shared" si="3"/>
        <v>0</v>
      </c>
      <c r="T7" s="61">
        <f t="shared" si="3"/>
        <v>0</v>
      </c>
      <c r="U7" s="61">
        <f t="shared" si="3"/>
        <v>0</v>
      </c>
      <c r="V7" s="61">
        <f t="shared" si="3"/>
        <v>0</v>
      </c>
      <c r="W7" s="61">
        <f t="shared" si="3"/>
        <v>0</v>
      </c>
      <c r="X7" s="61">
        <f t="shared" si="3"/>
        <v>0</v>
      </c>
      <c r="Y7" s="61">
        <f t="shared" si="3"/>
        <v>0</v>
      </c>
      <c r="Z7" s="61">
        <f t="shared" si="3"/>
        <v>0</v>
      </c>
      <c r="AA7" s="61">
        <f t="shared" si="3"/>
        <v>0</v>
      </c>
      <c r="AB7" s="61">
        <f t="shared" si="3"/>
        <v>0</v>
      </c>
      <c r="AC7" s="61">
        <f t="shared" si="3"/>
        <v>0</v>
      </c>
      <c r="AD7" s="61">
        <f t="shared" si="3"/>
        <v>0</v>
      </c>
      <c r="AE7" s="61">
        <f t="shared" si="3"/>
        <v>0</v>
      </c>
      <c r="AF7" s="61">
        <f t="shared" si="3"/>
        <v>0</v>
      </c>
      <c r="AG7" s="61">
        <f t="shared" si="3"/>
        <v>0</v>
      </c>
      <c r="AH7" s="61">
        <f t="shared" si="3"/>
        <v>0</v>
      </c>
      <c r="AI7" s="61">
        <f t="shared" si="3"/>
        <v>0</v>
      </c>
      <c r="AJ7" s="61">
        <f t="shared" si="3"/>
        <v>0</v>
      </c>
      <c r="AK7" s="61">
        <f t="shared" si="3"/>
        <v>0</v>
      </c>
    </row>
    <row r="8" spans="1:75" ht="36" customHeight="1" x14ac:dyDescent="0.25">
      <c r="A8" s="64" t="s">
        <v>214</v>
      </c>
      <c r="B8" s="65" t="s">
        <v>215</v>
      </c>
      <c r="C8" s="65" t="s">
        <v>85</v>
      </c>
      <c r="D8" s="65" t="s">
        <v>216</v>
      </c>
      <c r="E8" s="66" t="s">
        <v>217</v>
      </c>
      <c r="F8" s="116">
        <f t="shared" ref="F8:T8" si="4">IF((COLUMN()-COLUMN($F$8))&gt;($B$3-1),0,(COLUMN()-5))</f>
        <v>1</v>
      </c>
      <c r="G8" s="116">
        <f t="shared" si="4"/>
        <v>2</v>
      </c>
      <c r="H8" s="116">
        <f t="shared" si="4"/>
        <v>3</v>
      </c>
      <c r="I8" s="116">
        <f t="shared" si="4"/>
        <v>4</v>
      </c>
      <c r="J8" s="116">
        <f t="shared" si="4"/>
        <v>5</v>
      </c>
      <c r="K8" s="116">
        <f t="shared" si="4"/>
        <v>0</v>
      </c>
      <c r="L8" s="116">
        <f t="shared" si="4"/>
        <v>0</v>
      </c>
      <c r="M8" s="116">
        <f t="shared" si="4"/>
        <v>0</v>
      </c>
      <c r="N8" s="116">
        <f t="shared" si="4"/>
        <v>0</v>
      </c>
      <c r="O8" s="116">
        <f t="shared" si="4"/>
        <v>0</v>
      </c>
      <c r="P8" s="116">
        <f t="shared" si="4"/>
        <v>0</v>
      </c>
      <c r="Q8" s="116">
        <f t="shared" si="4"/>
        <v>0</v>
      </c>
      <c r="R8" s="116">
        <f t="shared" si="4"/>
        <v>0</v>
      </c>
      <c r="S8" s="116">
        <f t="shared" si="4"/>
        <v>0</v>
      </c>
      <c r="T8" s="116">
        <f t="shared" si="4"/>
        <v>0</v>
      </c>
      <c r="U8" s="116">
        <f>IF((COLUMN()-COLUMN($F$8))&gt;($B$3-1),0,(COLUMN()-5))</f>
        <v>0</v>
      </c>
      <c r="V8" s="116">
        <f t="shared" ref="V8:AI8" si="5">IF((COLUMN()-COLUMN($F$8))&gt;($B$3-1),0,(COLUMN()-5))</f>
        <v>0</v>
      </c>
      <c r="W8" s="116">
        <f t="shared" si="5"/>
        <v>0</v>
      </c>
      <c r="X8" s="116">
        <f t="shared" si="5"/>
        <v>0</v>
      </c>
      <c r="Y8" s="116">
        <f t="shared" si="5"/>
        <v>0</v>
      </c>
      <c r="Z8" s="116">
        <f t="shared" si="5"/>
        <v>0</v>
      </c>
      <c r="AA8" s="116">
        <f t="shared" si="5"/>
        <v>0</v>
      </c>
      <c r="AB8" s="116">
        <f t="shared" si="5"/>
        <v>0</v>
      </c>
      <c r="AC8" s="116">
        <f t="shared" si="5"/>
        <v>0</v>
      </c>
      <c r="AD8" s="116">
        <f t="shared" si="5"/>
        <v>0</v>
      </c>
      <c r="AE8" s="116">
        <f t="shared" si="5"/>
        <v>0</v>
      </c>
      <c r="AF8" s="116">
        <f t="shared" si="5"/>
        <v>0</v>
      </c>
      <c r="AG8" s="116">
        <f t="shared" si="5"/>
        <v>0</v>
      </c>
      <c r="AH8" s="116">
        <f t="shared" si="5"/>
        <v>0</v>
      </c>
      <c r="AI8" s="116">
        <f t="shared" si="5"/>
        <v>0</v>
      </c>
      <c r="AJ8" s="66" t="s">
        <v>218</v>
      </c>
      <c r="AK8" s="67" t="s">
        <v>219</v>
      </c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 t="s">
        <v>224</v>
      </c>
      <c r="BQ8" s="69" t="s">
        <v>217</v>
      </c>
      <c r="BR8" s="69" t="s">
        <v>216</v>
      </c>
      <c r="BS8" s="69" t="s">
        <v>225</v>
      </c>
      <c r="BT8" s="69" t="s">
        <v>226</v>
      </c>
      <c r="BU8" s="69" t="s">
        <v>227</v>
      </c>
      <c r="BV8" s="69" t="s">
        <v>228</v>
      </c>
      <c r="BW8" s="70"/>
    </row>
    <row r="9" spans="1:75" ht="15.75" x14ac:dyDescent="0.25">
      <c r="A9" s="71" t="str">
        <f ca="1">IFERROR(__xludf.DUMMYFUNCTION("IFERROR(INDEX(FILTER(T4.2026!$A$2:$A$1000, T4.2026!$A$2:$A$1000&lt;&gt;""""), ROWS($A$9:A9)), """")"),"Bánh Khoai Tây xá 4kg")</f>
        <v>Bánh Khoai Tây xá 4kg</v>
      </c>
      <c r="B9" s="72" t="str">
        <f t="array" aca="1" ref="B9" ca="1">IF($A9="","",IFERROR(_xlfn.XLOOKUP($A9,'T4.2026'!$A$2:$A$1000,'T4.2026'!$B$2:$B$1000),""))</f>
        <v>Bánh Khoai Tây xá 4kg</v>
      </c>
      <c r="C9" s="71" t="str">
        <f t="array" aca="1" ref="C9" ca="1">IF($A9="","",IFERROR(_xlfn.XLOOKUP($A9,'T4.2026'!$A$2:$A$1000,'T4.2026'!$C$2:$C$1000),""))</f>
        <v>kg</v>
      </c>
      <c r="D9" s="73">
        <f t="array" aca="1" ref="D9" ca="1">IF($A9="","",ROUND(IFERROR(_xlfn.XLOOKUP($A9,'T4.2026'!$A$2:$A$1000,'T4.2026'!$D$2:$D$1000),0),0))</f>
        <v>58850</v>
      </c>
      <c r="E9" s="73">
        <f t="array" aca="1" ref="E9" ca="1">IF($A9="","",IFERROR(_xlfn.XLOOKUP($A9,'T4.2026'!$A$2:$A$1000,'T4.2026'!$E$2:$E$1000),0))</f>
        <v>4</v>
      </c>
      <c r="F9" s="75">
        <f t="shared" ref="F9:F82" ca="1" si="6">IF($A9="","",IF(F$8=0,"",IF(SUM($AL9:$BO9)=0,0,ROUND($BU9*SUM($AL9:AL9)/SUM($AL9:$BO9),0)-0)))</f>
        <v>1</v>
      </c>
      <c r="G9" s="75">
        <f t="shared" ref="G9:AI9" ca="1" si="7">IF($A9="","",IF(G$8=0,"",IF(SUM($AL9:$BO9)=0,0,ROUND($BU9*SUM($AL9:AM9)/SUM($AL9:$BO9),0)-ROUND($BU9*SUM($AL9:AL9)/SUM($AL9:$BO9),0))))</f>
        <v>1</v>
      </c>
      <c r="H9" s="75">
        <f t="shared" ca="1" si="7"/>
        <v>0</v>
      </c>
      <c r="I9" s="75">
        <f t="shared" ca="1" si="7"/>
        <v>1</v>
      </c>
      <c r="J9" s="75">
        <f t="shared" ca="1" si="7"/>
        <v>1</v>
      </c>
      <c r="K9" s="75" t="str">
        <f t="shared" ca="1" si="7"/>
        <v/>
      </c>
      <c r="L9" s="75" t="str">
        <f t="shared" ca="1" si="7"/>
        <v/>
      </c>
      <c r="M9" s="75" t="str">
        <f t="shared" ca="1" si="7"/>
        <v/>
      </c>
      <c r="N9" s="75" t="str">
        <f t="shared" ca="1" si="7"/>
        <v/>
      </c>
      <c r="O9" s="75" t="str">
        <f t="shared" ca="1" si="7"/>
        <v/>
      </c>
      <c r="P9" s="75" t="str">
        <f t="shared" ca="1" si="7"/>
        <v/>
      </c>
      <c r="Q9" s="75" t="str">
        <f t="shared" ca="1" si="7"/>
        <v/>
      </c>
      <c r="R9" s="75" t="str">
        <f t="shared" ca="1" si="7"/>
        <v/>
      </c>
      <c r="S9" s="75" t="str">
        <f t="shared" ca="1" si="7"/>
        <v/>
      </c>
      <c r="T9" s="75" t="str">
        <f t="shared" ca="1" si="7"/>
        <v/>
      </c>
      <c r="U9" s="75" t="str">
        <f t="shared" ca="1" si="7"/>
        <v/>
      </c>
      <c r="V9" s="75" t="str">
        <f t="shared" ca="1" si="7"/>
        <v/>
      </c>
      <c r="W9" s="75" t="str">
        <f t="shared" ca="1" si="7"/>
        <v/>
      </c>
      <c r="X9" s="75" t="str">
        <f t="shared" ca="1" si="7"/>
        <v/>
      </c>
      <c r="Y9" s="75" t="str">
        <f t="shared" ca="1" si="7"/>
        <v/>
      </c>
      <c r="Z9" s="75" t="str">
        <f t="shared" ca="1" si="7"/>
        <v/>
      </c>
      <c r="AA9" s="75" t="str">
        <f t="shared" ca="1" si="7"/>
        <v/>
      </c>
      <c r="AB9" s="75" t="str">
        <f t="shared" ca="1" si="7"/>
        <v/>
      </c>
      <c r="AC9" s="75" t="str">
        <f t="shared" ca="1" si="7"/>
        <v/>
      </c>
      <c r="AD9" s="75" t="str">
        <f t="shared" ca="1" si="7"/>
        <v/>
      </c>
      <c r="AE9" s="75" t="str">
        <f t="shared" ca="1" si="7"/>
        <v/>
      </c>
      <c r="AF9" s="75" t="str">
        <f t="shared" ca="1" si="7"/>
        <v/>
      </c>
      <c r="AG9" s="75" t="str">
        <f t="shared" ca="1" si="7"/>
        <v/>
      </c>
      <c r="AH9" s="75" t="str">
        <f t="shared" ca="1" si="7"/>
        <v/>
      </c>
      <c r="AI9" s="75" t="str">
        <f t="shared" ca="1" si="7"/>
        <v/>
      </c>
      <c r="AJ9" s="76">
        <f t="shared" ref="AJ9:AJ82" ca="1" si="8">IF($A9="","",SUM(F9:AI9))</f>
        <v>4</v>
      </c>
      <c r="AK9" s="76">
        <f t="shared" ref="AK9:AK82" ca="1" si="9">IF($A9="","",E9-AJ9)</f>
        <v>0</v>
      </c>
      <c r="AL9" s="33">
        <f ca="1">IF($A9="","",IF((COLUMN()-COLUMN($AL$9))&gt;($B$3-1),0,MAX(0.1,1+$D$3*(0.6*(2*MOD(ABS(SIN((COLUMN()-COLUMN($AL$9)+1)*12.9898+$B$2*0.0001))*43758.5453,1)-1)+0.4*SIN(($BV9+COLUMN()-COLUMN($AL$9))*2*PI()/7)))))</f>
        <v>1.0019400711352984</v>
      </c>
      <c r="AM9" s="33">
        <f t="shared" ref="AM9:BO17" ca="1" si="10">IF($A9="","",IF((COLUMN()-COLUMN($AL$9))&gt;($B$3-1),0,MAX(0.1,1+$D$3*(0.6*(2*MOD(ABS(SIN((COLUMN()-COLUMN($AL$9)+1)*12.9898+$B$2*0.0001))*43758.5453,1)-1)+0.4*SIN(($BV9+COLUMN()-COLUMN($AL$9))*2*PI()/7)))))</f>
        <v>1.0000120717291163</v>
      </c>
      <c r="AN9" s="33">
        <f t="shared" ca="1" si="10"/>
        <v>0.99953397077357309</v>
      </c>
      <c r="AO9" s="33">
        <f t="shared" ca="1" si="10"/>
        <v>0.99911454540761768</v>
      </c>
      <c r="AP9" s="33">
        <f t="shared" ca="1" si="10"/>
        <v>1.0007105876239328</v>
      </c>
      <c r="AQ9" s="33">
        <f t="shared" ca="1" si="10"/>
        <v>0</v>
      </c>
      <c r="AR9" s="33">
        <f t="shared" ca="1" si="10"/>
        <v>0</v>
      </c>
      <c r="AS9" s="33">
        <f t="shared" ca="1" si="10"/>
        <v>0</v>
      </c>
      <c r="AT9" s="33">
        <f t="shared" ca="1" si="10"/>
        <v>0</v>
      </c>
      <c r="AU9" s="33">
        <f t="shared" ca="1" si="10"/>
        <v>0</v>
      </c>
      <c r="AV9" s="33">
        <f t="shared" ca="1" si="10"/>
        <v>0</v>
      </c>
      <c r="AW9" s="33">
        <f t="shared" ca="1" si="10"/>
        <v>0</v>
      </c>
      <c r="AX9" s="33">
        <f t="shared" ca="1" si="10"/>
        <v>0</v>
      </c>
      <c r="AY9" s="33">
        <f t="shared" ca="1" si="10"/>
        <v>0</v>
      </c>
      <c r="AZ9" s="33">
        <f t="shared" ca="1" si="10"/>
        <v>0</v>
      </c>
      <c r="BA9" s="33">
        <f t="shared" ca="1" si="10"/>
        <v>0</v>
      </c>
      <c r="BB9" s="33">
        <f t="shared" ca="1" si="10"/>
        <v>0</v>
      </c>
      <c r="BC9" s="33">
        <f t="shared" ca="1" si="10"/>
        <v>0</v>
      </c>
      <c r="BD9" s="33">
        <f t="shared" ca="1" si="10"/>
        <v>0</v>
      </c>
      <c r="BE9" s="33">
        <f t="shared" ca="1" si="10"/>
        <v>0</v>
      </c>
      <c r="BF9" s="33">
        <f t="shared" ca="1" si="10"/>
        <v>0</v>
      </c>
      <c r="BG9" s="33">
        <f t="shared" ca="1" si="10"/>
        <v>0</v>
      </c>
      <c r="BH9" s="33">
        <f t="shared" ca="1" si="10"/>
        <v>0</v>
      </c>
      <c r="BI9" s="33">
        <f t="shared" ca="1" si="10"/>
        <v>0</v>
      </c>
      <c r="BJ9" s="33">
        <f t="shared" ca="1" si="10"/>
        <v>0</v>
      </c>
      <c r="BK9" s="33">
        <f t="shared" ca="1" si="10"/>
        <v>0</v>
      </c>
      <c r="BL9" s="33">
        <f t="shared" ca="1" si="10"/>
        <v>0</v>
      </c>
      <c r="BM9" s="33">
        <f t="shared" ca="1" si="10"/>
        <v>0</v>
      </c>
      <c r="BN9" s="33">
        <f t="shared" ca="1" si="10"/>
        <v>0</v>
      </c>
      <c r="BO9" s="33">
        <f t="shared" ca="1" si="10"/>
        <v>0</v>
      </c>
      <c r="BP9" s="33" t="str">
        <f t="shared" ref="BP9:BP82" ca="1" si="11">IF($A9="","",$A9)</f>
        <v>Bánh Khoai Tây xá 4kg</v>
      </c>
      <c r="BQ9" s="77">
        <f t="shared" ref="BQ9:BQ82" ca="1" si="12">IF($A9="","",$E9)</f>
        <v>4</v>
      </c>
      <c r="BR9" s="77">
        <f t="shared" ref="BR9:BR82" ca="1" si="13">IF($A9="","",$D9)</f>
        <v>58850</v>
      </c>
      <c r="BS9" s="78">
        <f t="shared" ref="BS9:BS82" ca="1" si="14">IF($A9="","",ROUNDDOWN(BQ9*MIN(1,$B$2/SUMPRODUCT($BQ$9:$BQ$82,$BR$9:$BR$82)),0))</f>
        <v>3</v>
      </c>
      <c r="BT9" s="77">
        <f ca="1">IF($A9="","",MIN(BQ9-BS9,MAX(0,ROUNDDOWN(($B$2-SUMPRODUCT($BS$9:$BS$82,$BR$9:$BR$82))/BR9,0))))</f>
        <v>1</v>
      </c>
      <c r="BU9" s="77">
        <f t="shared" ref="BU9:BU82" ca="1" si="15">IF($A9="","",BS9+BT9)</f>
        <v>4</v>
      </c>
      <c r="BV9" s="78">
        <f t="shared" ref="BV9:BV82" ca="1" si="16">IF($A9="","",MOD(ROW()-5,30))</f>
        <v>4</v>
      </c>
    </row>
    <row r="10" spans="1:75" ht="15.75" x14ac:dyDescent="0.25">
      <c r="A10" s="71" t="str">
        <f ca="1">IFERROR(__xludf.DUMMYFUNCTION("IFERROR(INDEX(FILTER(T4.2026!$A$2:$A$1000, T4.2026!$A$2:$A$1000&lt;&gt;""""), ROWS($A$9:A10)), """")"),"VP26_01")</f>
        <v>VP26_01</v>
      </c>
      <c r="B10" s="72" t="str">
        <f t="array" aca="1" ref="B10" ca="1">IF($A10="","",IFERROR(_xlfn.XLOOKUP($A10,'T4.2026'!$A$2:$A$1000,'T4.2026'!$B$2:$B$1000),""))</f>
        <v>Nước T-REXX Oishi Túi 180ml (5 bịch/T)</v>
      </c>
      <c r="C10" s="71" t="str">
        <f t="array" aca="1" ref="C10" ca="1">IF($A10="","",IFERROR(_xlfn.XLOOKUP($A10,'T4.2026'!$A$2:$A$1000,'T4.2026'!$C$2:$C$1000),""))</f>
        <v>Bịch</v>
      </c>
      <c r="D10" s="73">
        <f t="array" aca="1" ref="D10" ca="1">IF($A10="","",ROUND(IFERROR(_xlfn.XLOOKUP($A10,'T4.2026'!$A$2:$A$1000,'T4.2026'!$D$2:$D$1000),0),0))</f>
        <v>28160</v>
      </c>
      <c r="E10" s="73">
        <f t="array" aca="1" ref="E10" ca="1">IF($A10="","",IFERROR(_xlfn.XLOOKUP($A10,'T4.2026'!$A$2:$A$1000,'T4.2026'!$E$2:$E$1000),0))</f>
        <v>25</v>
      </c>
      <c r="F10" s="75">
        <f t="shared" ca="1" si="6"/>
        <v>5</v>
      </c>
      <c r="G10" s="75">
        <f t="shared" ref="G10:AI10" ca="1" si="17">IF($A10="","",IF(G$8=0,"",IF(SUM($AL10:$BO10)=0,0,ROUND($BU10*SUM($AL10:AM10)/SUM($AL10:$BO10),0)-ROUND($BU10*SUM($AL10:AL10)/SUM($AL10:$BO10),0))))</f>
        <v>5</v>
      </c>
      <c r="H10" s="75">
        <f t="shared" ca="1" si="17"/>
        <v>5</v>
      </c>
      <c r="I10" s="75">
        <f t="shared" ca="1" si="17"/>
        <v>5</v>
      </c>
      <c r="J10" s="75">
        <f t="shared" ca="1" si="17"/>
        <v>5</v>
      </c>
      <c r="K10" s="75" t="str">
        <f t="shared" ca="1" si="17"/>
        <v/>
      </c>
      <c r="L10" s="75" t="str">
        <f t="shared" ca="1" si="17"/>
        <v/>
      </c>
      <c r="M10" s="75" t="str">
        <f t="shared" ca="1" si="17"/>
        <v/>
      </c>
      <c r="N10" s="75" t="str">
        <f t="shared" ca="1" si="17"/>
        <v/>
      </c>
      <c r="O10" s="75" t="str">
        <f t="shared" ca="1" si="17"/>
        <v/>
      </c>
      <c r="P10" s="75" t="str">
        <f t="shared" ca="1" si="17"/>
        <v/>
      </c>
      <c r="Q10" s="75" t="str">
        <f t="shared" ca="1" si="17"/>
        <v/>
      </c>
      <c r="R10" s="75" t="str">
        <f t="shared" ca="1" si="17"/>
        <v/>
      </c>
      <c r="S10" s="75" t="str">
        <f t="shared" ca="1" si="17"/>
        <v/>
      </c>
      <c r="T10" s="75" t="str">
        <f t="shared" ca="1" si="17"/>
        <v/>
      </c>
      <c r="U10" s="75" t="str">
        <f t="shared" ca="1" si="17"/>
        <v/>
      </c>
      <c r="V10" s="75" t="str">
        <f t="shared" ca="1" si="17"/>
        <v/>
      </c>
      <c r="W10" s="75" t="str">
        <f t="shared" ca="1" si="17"/>
        <v/>
      </c>
      <c r="X10" s="75" t="str">
        <f t="shared" ca="1" si="17"/>
        <v/>
      </c>
      <c r="Y10" s="75" t="str">
        <f t="shared" ca="1" si="17"/>
        <v/>
      </c>
      <c r="Z10" s="75" t="str">
        <f t="shared" ca="1" si="17"/>
        <v/>
      </c>
      <c r="AA10" s="75" t="str">
        <f t="shared" ca="1" si="17"/>
        <v/>
      </c>
      <c r="AB10" s="75" t="str">
        <f t="shared" ca="1" si="17"/>
        <v/>
      </c>
      <c r="AC10" s="75" t="str">
        <f t="shared" ca="1" si="17"/>
        <v/>
      </c>
      <c r="AD10" s="75" t="str">
        <f t="shared" ca="1" si="17"/>
        <v/>
      </c>
      <c r="AE10" s="75" t="str">
        <f t="shared" ca="1" si="17"/>
        <v/>
      </c>
      <c r="AF10" s="75" t="str">
        <f t="shared" ca="1" si="17"/>
        <v/>
      </c>
      <c r="AG10" s="75" t="str">
        <f t="shared" ca="1" si="17"/>
        <v/>
      </c>
      <c r="AH10" s="75" t="str">
        <f t="shared" ca="1" si="17"/>
        <v/>
      </c>
      <c r="AI10" s="75" t="str">
        <f t="shared" ca="1" si="17"/>
        <v/>
      </c>
      <c r="AJ10" s="76">
        <f t="shared" ca="1" si="8"/>
        <v>25</v>
      </c>
      <c r="AK10" s="76">
        <f t="shared" ca="1" si="9"/>
        <v>0</v>
      </c>
      <c r="AL10" s="33">
        <f t="shared" ref="AL10:BA41" ca="1" si="18">IF($A10="","",IF((COLUMN()-COLUMN($AL$9))&gt;($B$3-1),0,MAX(0.1,1+$D$3*(0.6*(2*MOD(ABS(SIN((COLUMN()-COLUMN($AL$9)+1)*12.9898+$B$2*0.0001))*43758.5453,1)-1)+0.4*SIN(($BV10+COLUMN()-COLUMN($AL$9))*2*PI()/7)))))</f>
        <v>0.99977589444304138</v>
      </c>
      <c r="AM10" s="33">
        <f t="shared" ca="1" si="10"/>
        <v>1.0007844574479716</v>
      </c>
      <c r="AN10" s="33">
        <f t="shared" ca="1" si="10"/>
        <v>1.0026612967034452</v>
      </c>
      <c r="AO10" s="33">
        <f t="shared" ca="1" si="10"/>
        <v>1.0022418713374899</v>
      </c>
      <c r="AP10" s="33">
        <f t="shared" ca="1" si="10"/>
        <v>1.0014829733427879</v>
      </c>
      <c r="AQ10" s="33">
        <f t="shared" ca="1" si="10"/>
        <v>0</v>
      </c>
      <c r="AR10" s="33">
        <f t="shared" ca="1" si="10"/>
        <v>0</v>
      </c>
      <c r="AS10" s="33">
        <f t="shared" ca="1" si="10"/>
        <v>0</v>
      </c>
      <c r="AT10" s="33">
        <f t="shared" ca="1" si="10"/>
        <v>0</v>
      </c>
      <c r="AU10" s="33">
        <f t="shared" ca="1" si="10"/>
        <v>0</v>
      </c>
      <c r="AV10" s="33">
        <f t="shared" ca="1" si="10"/>
        <v>0</v>
      </c>
      <c r="AW10" s="33">
        <f t="shared" ca="1" si="10"/>
        <v>0</v>
      </c>
      <c r="AX10" s="33">
        <f t="shared" ca="1" si="10"/>
        <v>0</v>
      </c>
      <c r="AY10" s="33">
        <f t="shared" ca="1" si="10"/>
        <v>0</v>
      </c>
      <c r="AZ10" s="33">
        <f t="shared" ca="1" si="10"/>
        <v>0</v>
      </c>
      <c r="BA10" s="33">
        <f t="shared" ca="1" si="10"/>
        <v>0</v>
      </c>
      <c r="BB10" s="33">
        <f t="shared" ca="1" si="10"/>
        <v>0</v>
      </c>
      <c r="BC10" s="33">
        <f t="shared" ca="1" si="10"/>
        <v>0</v>
      </c>
      <c r="BD10" s="33">
        <f t="shared" ca="1" si="10"/>
        <v>0</v>
      </c>
      <c r="BE10" s="33">
        <f t="shared" ca="1" si="10"/>
        <v>0</v>
      </c>
      <c r="BF10" s="33">
        <f t="shared" ca="1" si="10"/>
        <v>0</v>
      </c>
      <c r="BG10" s="33">
        <f t="shared" ca="1" si="10"/>
        <v>0</v>
      </c>
      <c r="BH10" s="33">
        <f t="shared" ca="1" si="10"/>
        <v>0</v>
      </c>
      <c r="BI10" s="33">
        <f t="shared" ca="1" si="10"/>
        <v>0</v>
      </c>
      <c r="BJ10" s="33">
        <f t="shared" ca="1" si="10"/>
        <v>0</v>
      </c>
      <c r="BK10" s="33">
        <f t="shared" ca="1" si="10"/>
        <v>0</v>
      </c>
      <c r="BL10" s="33">
        <f t="shared" ca="1" si="10"/>
        <v>0</v>
      </c>
      <c r="BM10" s="33">
        <f t="shared" ca="1" si="10"/>
        <v>0</v>
      </c>
      <c r="BN10" s="33">
        <f t="shared" ca="1" si="10"/>
        <v>0</v>
      </c>
      <c r="BO10" s="33">
        <f t="shared" ca="1" si="10"/>
        <v>0</v>
      </c>
      <c r="BP10" s="33" t="str">
        <f t="shared" ca="1" si="11"/>
        <v>VP26_01</v>
      </c>
      <c r="BQ10" s="77">
        <f t="shared" ca="1" si="12"/>
        <v>25</v>
      </c>
      <c r="BR10" s="77">
        <f t="shared" ca="1" si="13"/>
        <v>28160</v>
      </c>
      <c r="BS10" s="78">
        <f t="shared" ca="1" si="14"/>
        <v>23</v>
      </c>
      <c r="BT10" s="77">
        <f t="shared" ref="BT10:BT82" ca="1" si="19">IF($A10="","",MIN(BQ10-BS10,MAX(0,ROUNDDOWN(($B$2-SUMPRODUCT($BS$9:$BS$82,$BR$9:$BR$82)-SUMPRODUCT($BT$9:BT9,$BR$9:BR9))/BR10,0))))</f>
        <v>2</v>
      </c>
      <c r="BU10" s="77">
        <f t="shared" ca="1" si="15"/>
        <v>25</v>
      </c>
      <c r="BV10" s="78">
        <f t="shared" ca="1" si="16"/>
        <v>5</v>
      </c>
    </row>
    <row r="11" spans="1:75" ht="15.75" x14ac:dyDescent="0.25">
      <c r="A11" s="71" t="str">
        <f ca="1">IFERROR(__xludf.DUMMYFUNCTION("IFERROR(INDEX(FILTER(T4.2026!$A$2:$A$1000, T4.2026!$A$2:$A$1000&lt;&gt;""""), ROWS($A$9:A11)), """")"),"VP26_02")</f>
        <v>VP26_02</v>
      </c>
      <c r="B11" s="72" t="str">
        <f t="array" aca="1" ref="B11" ca="1">IF($A11="","",IFERROR(_xlfn.XLOOKUP($A11,'T4.2026'!$A$2:$A$1000,'T4.2026'!$B$2:$B$1000),""))</f>
        <v>Bánh snack Oishi 2K (10 bịch/bao)</v>
      </c>
      <c r="C11" s="71" t="str">
        <f t="array" aca="1" ref="C11" ca="1">IF($A11="","",IFERROR(_xlfn.XLOOKUP($A11,'T4.2026'!$A$2:$A$1000,'T4.2026'!$C$2:$C$1000),""))</f>
        <v>Bịch</v>
      </c>
      <c r="D11" s="73">
        <f t="array" aca="1" ref="D11" ca="1">IF($A11="","",ROUND(IFERROR(_xlfn.XLOOKUP($A11,'T4.2026'!$A$2:$A$1000,'T4.2026'!$D$2:$D$1000),0),0))</f>
        <v>15248</v>
      </c>
      <c r="E11" s="73">
        <f t="array" aca="1" ref="E11" ca="1">IF($A11="","",IFERROR(_xlfn.XLOOKUP($A11,'T4.2026'!$A$2:$A$1000,'T4.2026'!$E$2:$E$1000),0))</f>
        <v>280</v>
      </c>
      <c r="F11" s="75">
        <f t="shared" ca="1" si="6"/>
        <v>53</v>
      </c>
      <c r="G11" s="75">
        <f t="shared" ref="G11:AI11" ca="1" si="20">IF($A11="","",IF(G$8=0,"",IF(SUM($AL11:$BO11)=0,0,ROUND($BU11*SUM($AL11:AM11)/SUM($AL11:$BO11),0)-ROUND($BU11*SUM($AL11:AL11)/SUM($AL11:$BO11),0))))</f>
        <v>53</v>
      </c>
      <c r="H11" s="75">
        <f t="shared" ca="1" si="20"/>
        <v>53</v>
      </c>
      <c r="I11" s="75">
        <f t="shared" ca="1" si="20"/>
        <v>53</v>
      </c>
      <c r="J11" s="75">
        <f t="shared" ca="1" si="20"/>
        <v>53</v>
      </c>
      <c r="K11" s="75" t="str">
        <f ca="1">IF($A11="","",IF(K$8=0,"",IF(SUM($AL11:$BO11)=0,0,ROUND($BU11*SUM($AL11:AQ11)/SUM($AL11:$BO11),0)-ROUND($BU11*SUM($AL11:AP11)/SUM($AL11:$BO11),0))))</f>
        <v/>
      </c>
      <c r="L11" s="75" t="str">
        <f t="shared" ca="1" si="20"/>
        <v/>
      </c>
      <c r="M11" s="75" t="str">
        <f t="shared" ca="1" si="20"/>
        <v/>
      </c>
      <c r="N11" s="75" t="str">
        <f t="shared" ca="1" si="20"/>
        <v/>
      </c>
      <c r="O11" s="75" t="str">
        <f t="shared" ca="1" si="20"/>
        <v/>
      </c>
      <c r="P11" s="75" t="str">
        <f t="shared" ca="1" si="20"/>
        <v/>
      </c>
      <c r="Q11" s="75" t="str">
        <f t="shared" ca="1" si="20"/>
        <v/>
      </c>
      <c r="R11" s="75" t="str">
        <f t="shared" ca="1" si="20"/>
        <v/>
      </c>
      <c r="S11" s="75" t="str">
        <f t="shared" ca="1" si="20"/>
        <v/>
      </c>
      <c r="T11" s="75" t="str">
        <f t="shared" ca="1" si="20"/>
        <v/>
      </c>
      <c r="U11" s="75" t="str">
        <f t="shared" ca="1" si="20"/>
        <v/>
      </c>
      <c r="V11" s="75" t="str">
        <f t="shared" ca="1" si="20"/>
        <v/>
      </c>
      <c r="W11" s="75" t="str">
        <f t="shared" ca="1" si="20"/>
        <v/>
      </c>
      <c r="X11" s="75" t="str">
        <f t="shared" ca="1" si="20"/>
        <v/>
      </c>
      <c r="Y11" s="75" t="str">
        <f t="shared" ca="1" si="20"/>
        <v/>
      </c>
      <c r="Z11" s="75" t="str">
        <f t="shared" ca="1" si="20"/>
        <v/>
      </c>
      <c r="AA11" s="75" t="str">
        <f t="shared" ca="1" si="20"/>
        <v/>
      </c>
      <c r="AB11" s="75" t="str">
        <f t="shared" ca="1" si="20"/>
        <v/>
      </c>
      <c r="AC11" s="75" t="str">
        <f t="shared" ca="1" si="20"/>
        <v/>
      </c>
      <c r="AD11" s="75" t="str">
        <f t="shared" ca="1" si="20"/>
        <v/>
      </c>
      <c r="AE11" s="75" t="str">
        <f t="shared" ca="1" si="20"/>
        <v/>
      </c>
      <c r="AF11" s="75" t="str">
        <f t="shared" ca="1" si="20"/>
        <v/>
      </c>
      <c r="AG11" s="75" t="str">
        <f t="shared" ca="1" si="20"/>
        <v/>
      </c>
      <c r="AH11" s="75" t="str">
        <f t="shared" ca="1" si="20"/>
        <v/>
      </c>
      <c r="AI11" s="75" t="str">
        <f t="shared" ca="1" si="20"/>
        <v/>
      </c>
      <c r="AJ11" s="76">
        <f t="shared" ca="1" si="8"/>
        <v>265</v>
      </c>
      <c r="AK11" s="76">
        <f t="shared" ca="1" si="9"/>
        <v>15</v>
      </c>
      <c r="AL11" s="33">
        <f t="shared" ca="1" si="18"/>
        <v>1.0005482801618966</v>
      </c>
      <c r="AM11" s="33">
        <f t="shared" ca="1" si="10"/>
        <v>1.0039117833778437</v>
      </c>
      <c r="AN11" s="33">
        <f t="shared" ca="1" si="10"/>
        <v>1.0057886226333175</v>
      </c>
      <c r="AO11" s="33">
        <f t="shared" ca="1" si="10"/>
        <v>1.0030142570563449</v>
      </c>
      <c r="AP11" s="33">
        <f t="shared" ca="1" si="10"/>
        <v>0.99931879665053092</v>
      </c>
      <c r="AQ11" s="33">
        <f t="shared" ca="1" si="10"/>
        <v>0</v>
      </c>
      <c r="AR11" s="33">
        <f t="shared" ca="1" si="10"/>
        <v>0</v>
      </c>
      <c r="AS11" s="33">
        <f t="shared" ca="1" si="10"/>
        <v>0</v>
      </c>
      <c r="AT11" s="33">
        <f t="shared" ca="1" si="10"/>
        <v>0</v>
      </c>
      <c r="AU11" s="33">
        <f t="shared" ca="1" si="10"/>
        <v>0</v>
      </c>
      <c r="AV11" s="33">
        <f t="shared" ca="1" si="10"/>
        <v>0</v>
      </c>
      <c r="AW11" s="33">
        <f t="shared" ca="1" si="10"/>
        <v>0</v>
      </c>
      <c r="AX11" s="33">
        <f t="shared" ca="1" si="10"/>
        <v>0</v>
      </c>
      <c r="AY11" s="33">
        <f t="shared" ca="1" si="10"/>
        <v>0</v>
      </c>
      <c r="AZ11" s="33">
        <f t="shared" ca="1" si="10"/>
        <v>0</v>
      </c>
      <c r="BA11" s="33">
        <f t="shared" ca="1" si="10"/>
        <v>0</v>
      </c>
      <c r="BB11" s="33">
        <f t="shared" ca="1" si="10"/>
        <v>0</v>
      </c>
      <c r="BC11" s="33">
        <f t="shared" ca="1" si="10"/>
        <v>0</v>
      </c>
      <c r="BD11" s="33">
        <f t="shared" ca="1" si="10"/>
        <v>0</v>
      </c>
      <c r="BE11" s="33">
        <f t="shared" ca="1" si="10"/>
        <v>0</v>
      </c>
      <c r="BF11" s="33">
        <f t="shared" ca="1" si="10"/>
        <v>0</v>
      </c>
      <c r="BG11" s="33">
        <f t="shared" ca="1" si="10"/>
        <v>0</v>
      </c>
      <c r="BH11" s="33">
        <f t="shared" ca="1" si="10"/>
        <v>0</v>
      </c>
      <c r="BI11" s="33">
        <f t="shared" ca="1" si="10"/>
        <v>0</v>
      </c>
      <c r="BJ11" s="33">
        <f t="shared" ca="1" si="10"/>
        <v>0</v>
      </c>
      <c r="BK11" s="33">
        <f t="shared" ca="1" si="10"/>
        <v>0</v>
      </c>
      <c r="BL11" s="33">
        <f t="shared" ca="1" si="10"/>
        <v>0</v>
      </c>
      <c r="BM11" s="33">
        <f t="shared" ca="1" si="10"/>
        <v>0</v>
      </c>
      <c r="BN11" s="33">
        <f t="shared" ca="1" si="10"/>
        <v>0</v>
      </c>
      <c r="BO11" s="33">
        <f t="shared" ca="1" si="10"/>
        <v>0</v>
      </c>
      <c r="BP11" s="33" t="str">
        <f t="shared" ca="1" si="11"/>
        <v>VP26_02</v>
      </c>
      <c r="BQ11" s="77">
        <f t="shared" ca="1" si="12"/>
        <v>280</v>
      </c>
      <c r="BR11" s="77">
        <f t="shared" ca="1" si="13"/>
        <v>15248</v>
      </c>
      <c r="BS11" s="78">
        <f t="shared" ca="1" si="14"/>
        <v>263</v>
      </c>
      <c r="BT11" s="77">
        <f t="shared" ca="1" si="19"/>
        <v>2</v>
      </c>
      <c r="BU11" s="77">
        <f t="shared" ca="1" si="15"/>
        <v>265</v>
      </c>
      <c r="BV11" s="78">
        <f t="shared" ca="1" si="16"/>
        <v>6</v>
      </c>
    </row>
    <row r="12" spans="1:75" ht="15.75" x14ac:dyDescent="0.25">
      <c r="A12" s="71" t="str">
        <f ca="1">IFERROR(__xludf.DUMMYFUNCTION("IFERROR(INDEX(FILTER(T4.2026!$A$2:$A$1000, T4.2026!$A$2:$A$1000&lt;&gt;""""), ROWS($A$9:A12)), """")"),"VP26_10")</f>
        <v>VP26_10</v>
      </c>
      <c r="B12" s="72" t="str">
        <f t="array" aca="1" ref="B12" ca="1">IF($A12="","",IFERROR(_xlfn.XLOOKUP($A12,'T4.2026'!$A$2:$A$1000,'T4.2026'!$B$2:$B$1000),""))</f>
        <v>Bánh snack Oishi 5K (8 bịch/bao)</v>
      </c>
      <c r="C12" s="71" t="str">
        <f t="array" aca="1" ref="C12" ca="1">IF($A12="","",IFERROR(_xlfn.XLOOKUP($A12,'T4.2026'!$A$2:$A$1000,'T4.2026'!$C$2:$C$1000),""))</f>
        <v>Bịch</v>
      </c>
      <c r="D12" s="73">
        <f t="array" aca="1" ref="D12" ca="1">IF($A12="","",ROUND(IFERROR(_xlfn.XLOOKUP($A12,'T4.2026'!$A$2:$A$1000,'T4.2026'!$D$2:$D$1000),0),0))</f>
        <v>38500</v>
      </c>
      <c r="E12" s="73">
        <f t="array" aca="1" ref="E12" ca="1">IF($A12="","",IFERROR(_xlfn.XLOOKUP($A12,'T4.2026'!$A$2:$A$1000,'T4.2026'!$E$2:$E$1000),0))</f>
        <v>8</v>
      </c>
      <c r="F12" s="75">
        <f t="shared" ca="1" si="6"/>
        <v>1</v>
      </c>
      <c r="G12" s="75">
        <f t="shared" ref="G12:AI12" ca="1" si="21">IF($A12="","",IF(G$8=0,"",IF(SUM($AL12:$BO12)=0,0,ROUND($BU12*SUM($AL12:AM12)/SUM($AL12:$BO12),0)-ROUND($BU12*SUM($AL12:AL12)/SUM($AL12:$BO12),0))))</f>
        <v>2</v>
      </c>
      <c r="H12" s="75">
        <f t="shared" ca="1" si="21"/>
        <v>1</v>
      </c>
      <c r="I12" s="75">
        <f t="shared" ca="1" si="21"/>
        <v>2</v>
      </c>
      <c r="J12" s="75">
        <f t="shared" ca="1" si="21"/>
        <v>1</v>
      </c>
      <c r="K12" s="75" t="str">
        <f t="shared" ca="1" si="21"/>
        <v/>
      </c>
      <c r="L12" s="75" t="str">
        <f t="shared" ca="1" si="21"/>
        <v/>
      </c>
      <c r="M12" s="75" t="str">
        <f t="shared" ca="1" si="21"/>
        <v/>
      </c>
      <c r="N12" s="75" t="str">
        <f t="shared" ca="1" si="21"/>
        <v/>
      </c>
      <c r="O12" s="75" t="str">
        <f t="shared" ca="1" si="21"/>
        <v/>
      </c>
      <c r="P12" s="75" t="str">
        <f t="shared" ca="1" si="21"/>
        <v/>
      </c>
      <c r="Q12" s="75" t="str">
        <f t="shared" ca="1" si="21"/>
        <v/>
      </c>
      <c r="R12" s="75" t="str">
        <f t="shared" ca="1" si="21"/>
        <v/>
      </c>
      <c r="S12" s="75" t="str">
        <f t="shared" ca="1" si="21"/>
        <v/>
      </c>
      <c r="T12" s="75" t="str">
        <f t="shared" ca="1" si="21"/>
        <v/>
      </c>
      <c r="U12" s="75" t="str">
        <f t="shared" ca="1" si="21"/>
        <v/>
      </c>
      <c r="V12" s="75" t="str">
        <f t="shared" ca="1" si="21"/>
        <v/>
      </c>
      <c r="W12" s="75" t="str">
        <f t="shared" ca="1" si="21"/>
        <v/>
      </c>
      <c r="X12" s="75" t="str">
        <f t="shared" ca="1" si="21"/>
        <v/>
      </c>
      <c r="Y12" s="75" t="str">
        <f t="shared" ca="1" si="21"/>
        <v/>
      </c>
      <c r="Z12" s="75" t="str">
        <f t="shared" ca="1" si="21"/>
        <v/>
      </c>
      <c r="AA12" s="75" t="str">
        <f t="shared" ca="1" si="21"/>
        <v/>
      </c>
      <c r="AB12" s="75" t="str">
        <f t="shared" ca="1" si="21"/>
        <v/>
      </c>
      <c r="AC12" s="75" t="str">
        <f t="shared" ca="1" si="21"/>
        <v/>
      </c>
      <c r="AD12" s="75" t="str">
        <f t="shared" ca="1" si="21"/>
        <v/>
      </c>
      <c r="AE12" s="75" t="str">
        <f t="shared" ca="1" si="21"/>
        <v/>
      </c>
      <c r="AF12" s="75" t="str">
        <f t="shared" ca="1" si="21"/>
        <v/>
      </c>
      <c r="AG12" s="75" t="str">
        <f t="shared" ca="1" si="21"/>
        <v/>
      </c>
      <c r="AH12" s="75" t="str">
        <f t="shared" ca="1" si="21"/>
        <v/>
      </c>
      <c r="AI12" s="75" t="str">
        <f t="shared" ca="1" si="21"/>
        <v/>
      </c>
      <c r="AJ12" s="76">
        <f t="shared" ca="1" si="8"/>
        <v>7</v>
      </c>
      <c r="AK12" s="76">
        <f t="shared" ca="1" si="9"/>
        <v>1</v>
      </c>
      <c r="AL12" s="33">
        <f t="shared" ca="1" si="18"/>
        <v>1.0036756060917686</v>
      </c>
      <c r="AM12" s="33">
        <f t="shared" ca="1" si="10"/>
        <v>1.0070391093077158</v>
      </c>
      <c r="AN12" s="33">
        <f t="shared" ca="1" si="10"/>
        <v>1.0065610083521725</v>
      </c>
      <c r="AO12" s="33">
        <f t="shared" ca="1" si="10"/>
        <v>1.0008500803640878</v>
      </c>
      <c r="AP12" s="33">
        <f t="shared" ca="1" si="10"/>
        <v>0.99584772673759037</v>
      </c>
      <c r="AQ12" s="33">
        <f t="shared" ca="1" si="10"/>
        <v>0</v>
      </c>
      <c r="AR12" s="33">
        <f t="shared" ca="1" si="10"/>
        <v>0</v>
      </c>
      <c r="AS12" s="33">
        <f t="shared" ca="1" si="10"/>
        <v>0</v>
      </c>
      <c r="AT12" s="33">
        <f t="shared" ca="1" si="10"/>
        <v>0</v>
      </c>
      <c r="AU12" s="33">
        <f t="shared" ca="1" si="10"/>
        <v>0</v>
      </c>
      <c r="AV12" s="33">
        <f t="shared" ca="1" si="10"/>
        <v>0</v>
      </c>
      <c r="AW12" s="33">
        <f t="shared" ca="1" si="10"/>
        <v>0</v>
      </c>
      <c r="AX12" s="33">
        <f t="shared" ca="1" si="10"/>
        <v>0</v>
      </c>
      <c r="AY12" s="33">
        <f t="shared" ca="1" si="10"/>
        <v>0</v>
      </c>
      <c r="AZ12" s="33">
        <f t="shared" ca="1" si="10"/>
        <v>0</v>
      </c>
      <c r="BA12" s="33">
        <f t="shared" ca="1" si="10"/>
        <v>0</v>
      </c>
      <c r="BB12" s="33">
        <f t="shared" ca="1" si="10"/>
        <v>0</v>
      </c>
      <c r="BC12" s="33">
        <f t="shared" ca="1" si="10"/>
        <v>0</v>
      </c>
      <c r="BD12" s="33">
        <f t="shared" ca="1" si="10"/>
        <v>0</v>
      </c>
      <c r="BE12" s="33">
        <f t="shared" ca="1" si="10"/>
        <v>0</v>
      </c>
      <c r="BF12" s="33">
        <f t="shared" ca="1" si="10"/>
        <v>0</v>
      </c>
      <c r="BG12" s="33">
        <f t="shared" ca="1" si="10"/>
        <v>0</v>
      </c>
      <c r="BH12" s="33">
        <f t="shared" ca="1" si="10"/>
        <v>0</v>
      </c>
      <c r="BI12" s="33">
        <f t="shared" ca="1" si="10"/>
        <v>0</v>
      </c>
      <c r="BJ12" s="33">
        <f t="shared" ca="1" si="10"/>
        <v>0</v>
      </c>
      <c r="BK12" s="33">
        <f t="shared" ca="1" si="10"/>
        <v>0</v>
      </c>
      <c r="BL12" s="33">
        <f t="shared" ca="1" si="10"/>
        <v>0</v>
      </c>
      <c r="BM12" s="33">
        <f t="shared" ca="1" si="10"/>
        <v>0</v>
      </c>
      <c r="BN12" s="33">
        <f t="shared" ca="1" si="10"/>
        <v>0</v>
      </c>
      <c r="BO12" s="33">
        <f t="shared" ca="1" si="10"/>
        <v>0</v>
      </c>
      <c r="BP12" s="33" t="str">
        <f t="shared" ca="1" si="11"/>
        <v>VP26_10</v>
      </c>
      <c r="BQ12" s="77">
        <f t="shared" ca="1" si="12"/>
        <v>8</v>
      </c>
      <c r="BR12" s="77">
        <f t="shared" ca="1" si="13"/>
        <v>38500</v>
      </c>
      <c r="BS12" s="78">
        <f t="shared" ca="1" si="14"/>
        <v>7</v>
      </c>
      <c r="BT12" s="77">
        <f t="shared" ca="1" si="19"/>
        <v>0</v>
      </c>
      <c r="BU12" s="77">
        <f t="shared" ca="1" si="15"/>
        <v>7</v>
      </c>
      <c r="BV12" s="78">
        <f t="shared" ca="1" si="16"/>
        <v>7</v>
      </c>
    </row>
    <row r="13" spans="1:75" ht="15.75" x14ac:dyDescent="0.25">
      <c r="A13" s="71" t="str">
        <f ca="1">IFERROR(__xludf.DUMMYFUNCTION("IFERROR(INDEX(FILTER(T4.2026!$A$2:$A$1000, T4.2026!$A$2:$A$1000&lt;&gt;""""), ROWS($A$9:A13)), """")"),"VP26_13")</f>
        <v>VP26_13</v>
      </c>
      <c r="B13" s="72" t="str">
        <f t="array" aca="1" ref="B13" ca="1">IF($A13="","",IFERROR(_xlfn.XLOOKUP($A13,'T4.2026'!$A$2:$A$1000,'T4.2026'!$B$2:$B$1000),""))</f>
        <v>Bánh Chấm 330g PC (12 cái)</v>
      </c>
      <c r="C13" s="71" t="str">
        <f t="array" aca="1" ref="C13" ca="1">IF($A13="","",IFERROR(_xlfn.XLOOKUP($A13,'T4.2026'!$A$2:$A$1000,'T4.2026'!$C$2:$C$1000),""))</f>
        <v>Cái</v>
      </c>
      <c r="D13" s="73">
        <f t="array" aca="1" ref="D13" ca="1">IF($A13="","",ROUND(IFERROR(_xlfn.XLOOKUP($A13,'T4.2026'!$A$2:$A$1000,'T4.2026'!$D$2:$D$1000),0),0))</f>
        <v>2383</v>
      </c>
      <c r="E13" s="73">
        <f t="array" aca="1" ref="E13" ca="1">IF($A13="","",IFERROR(_xlfn.XLOOKUP($A13,'T4.2026'!$A$2:$A$1000,'T4.2026'!$E$2:$E$1000),0))</f>
        <v>120</v>
      </c>
      <c r="F13" s="75">
        <f t="shared" ca="1" si="6"/>
        <v>23</v>
      </c>
      <c r="G13" s="75">
        <f t="shared" ref="G13:AI13" ca="1" si="22">IF($A13="","",IF(G$8=0,"",IF(SUM($AL13:$BO13)=0,0,ROUND($BU13*SUM($AL13:AM13)/SUM($AL13:$BO13),0)-ROUND($BU13*SUM($AL13:AL13)/SUM($AL13:$BO13),0))))</f>
        <v>22</v>
      </c>
      <c r="H13" s="75">
        <f t="shared" ca="1" si="22"/>
        <v>22</v>
      </c>
      <c r="I13" s="75">
        <f t="shared" ca="1" si="22"/>
        <v>23</v>
      </c>
      <c r="J13" s="75">
        <f t="shared" ca="1" si="22"/>
        <v>22</v>
      </c>
      <c r="K13" s="75" t="str">
        <f t="shared" ca="1" si="22"/>
        <v/>
      </c>
      <c r="L13" s="75" t="str">
        <f t="shared" ca="1" si="22"/>
        <v/>
      </c>
      <c r="M13" s="75" t="str">
        <f t="shared" ca="1" si="22"/>
        <v/>
      </c>
      <c r="N13" s="75" t="str">
        <f t="shared" ca="1" si="22"/>
        <v/>
      </c>
      <c r="O13" s="75" t="str">
        <f t="shared" ca="1" si="22"/>
        <v/>
      </c>
      <c r="P13" s="75" t="str">
        <f t="shared" ca="1" si="22"/>
        <v/>
      </c>
      <c r="Q13" s="75" t="str">
        <f t="shared" ca="1" si="22"/>
        <v/>
      </c>
      <c r="R13" s="75" t="str">
        <f t="shared" ca="1" si="22"/>
        <v/>
      </c>
      <c r="S13" s="75" t="str">
        <f t="shared" ca="1" si="22"/>
        <v/>
      </c>
      <c r="T13" s="75" t="str">
        <f t="shared" ca="1" si="22"/>
        <v/>
      </c>
      <c r="U13" s="75" t="str">
        <f t="shared" ca="1" si="22"/>
        <v/>
      </c>
      <c r="V13" s="75" t="str">
        <f t="shared" ca="1" si="22"/>
        <v/>
      </c>
      <c r="W13" s="75" t="str">
        <f t="shared" ca="1" si="22"/>
        <v/>
      </c>
      <c r="X13" s="75" t="str">
        <f t="shared" ca="1" si="22"/>
        <v/>
      </c>
      <c r="Y13" s="75" t="str">
        <f t="shared" ca="1" si="22"/>
        <v/>
      </c>
      <c r="Z13" s="75" t="str">
        <f t="shared" ca="1" si="22"/>
        <v/>
      </c>
      <c r="AA13" s="75" t="str">
        <f t="shared" ca="1" si="22"/>
        <v/>
      </c>
      <c r="AB13" s="75" t="str">
        <f t="shared" ca="1" si="22"/>
        <v/>
      </c>
      <c r="AC13" s="75" t="str">
        <f t="shared" ca="1" si="22"/>
        <v/>
      </c>
      <c r="AD13" s="75" t="str">
        <f t="shared" ca="1" si="22"/>
        <v/>
      </c>
      <c r="AE13" s="75" t="str">
        <f t="shared" ca="1" si="22"/>
        <v/>
      </c>
      <c r="AF13" s="75" t="str">
        <f t="shared" ca="1" si="22"/>
        <v/>
      </c>
      <c r="AG13" s="75" t="str">
        <f t="shared" ca="1" si="22"/>
        <v/>
      </c>
      <c r="AH13" s="75" t="str">
        <f t="shared" ca="1" si="22"/>
        <v/>
      </c>
      <c r="AI13" s="75" t="str">
        <f t="shared" ca="1" si="22"/>
        <v/>
      </c>
      <c r="AJ13" s="76">
        <f t="shared" ca="1" si="8"/>
        <v>112</v>
      </c>
      <c r="AK13" s="76">
        <f t="shared" ca="1" si="9"/>
        <v>8</v>
      </c>
      <c r="AL13" s="33">
        <f t="shared" ca="1" si="18"/>
        <v>1.0068029320216407</v>
      </c>
      <c r="AM13" s="33">
        <f t="shared" ca="1" si="10"/>
        <v>1.0078114950265711</v>
      </c>
      <c r="AN13" s="33">
        <f t="shared" ca="1" si="10"/>
        <v>1.0043968316599154</v>
      </c>
      <c r="AO13" s="33">
        <f t="shared" ca="1" si="10"/>
        <v>0.99737901045114752</v>
      </c>
      <c r="AP13" s="33">
        <f t="shared" ca="1" si="10"/>
        <v>0.99368355004533337</v>
      </c>
      <c r="AQ13" s="33">
        <f t="shared" ca="1" si="10"/>
        <v>0</v>
      </c>
      <c r="AR13" s="33">
        <f t="shared" ca="1" si="10"/>
        <v>0</v>
      </c>
      <c r="AS13" s="33">
        <f t="shared" ca="1" si="10"/>
        <v>0</v>
      </c>
      <c r="AT13" s="33">
        <f t="shared" ca="1" si="10"/>
        <v>0</v>
      </c>
      <c r="AU13" s="33">
        <f t="shared" ca="1" si="10"/>
        <v>0</v>
      </c>
      <c r="AV13" s="33">
        <f t="shared" ca="1" si="10"/>
        <v>0</v>
      </c>
      <c r="AW13" s="33">
        <f t="shared" ca="1" si="10"/>
        <v>0</v>
      </c>
      <c r="AX13" s="33">
        <f t="shared" ca="1" si="10"/>
        <v>0</v>
      </c>
      <c r="AY13" s="33">
        <f t="shared" ca="1" si="10"/>
        <v>0</v>
      </c>
      <c r="AZ13" s="33">
        <f t="shared" ca="1" si="10"/>
        <v>0</v>
      </c>
      <c r="BA13" s="33">
        <f t="shared" ca="1" si="10"/>
        <v>0</v>
      </c>
      <c r="BB13" s="33">
        <f t="shared" ca="1" si="10"/>
        <v>0</v>
      </c>
      <c r="BC13" s="33">
        <f t="shared" ca="1" si="10"/>
        <v>0</v>
      </c>
      <c r="BD13" s="33">
        <f t="shared" ca="1" si="10"/>
        <v>0</v>
      </c>
      <c r="BE13" s="33">
        <f t="shared" ca="1" si="10"/>
        <v>0</v>
      </c>
      <c r="BF13" s="33">
        <f t="shared" ca="1" si="10"/>
        <v>0</v>
      </c>
      <c r="BG13" s="33">
        <f t="shared" ca="1" si="10"/>
        <v>0</v>
      </c>
      <c r="BH13" s="33">
        <f t="shared" ca="1" si="10"/>
        <v>0</v>
      </c>
      <c r="BI13" s="33">
        <f t="shared" ca="1" si="10"/>
        <v>0</v>
      </c>
      <c r="BJ13" s="33">
        <f t="shared" ca="1" si="10"/>
        <v>0</v>
      </c>
      <c r="BK13" s="33">
        <f t="shared" ca="1" si="10"/>
        <v>0</v>
      </c>
      <c r="BL13" s="33">
        <f t="shared" ca="1" si="10"/>
        <v>0</v>
      </c>
      <c r="BM13" s="33">
        <f t="shared" ca="1" si="10"/>
        <v>0</v>
      </c>
      <c r="BN13" s="33">
        <f t="shared" ca="1" si="10"/>
        <v>0</v>
      </c>
      <c r="BO13" s="33">
        <f t="shared" ca="1" si="10"/>
        <v>0</v>
      </c>
      <c r="BP13" s="33" t="str">
        <f t="shared" ca="1" si="11"/>
        <v>VP26_13</v>
      </c>
      <c r="BQ13" s="77">
        <f t="shared" ca="1" si="12"/>
        <v>120</v>
      </c>
      <c r="BR13" s="77">
        <f t="shared" ca="1" si="13"/>
        <v>2383</v>
      </c>
      <c r="BS13" s="78">
        <f t="shared" ca="1" si="14"/>
        <v>112</v>
      </c>
      <c r="BT13" s="77">
        <f t="shared" ca="1" si="19"/>
        <v>0</v>
      </c>
      <c r="BU13" s="77">
        <f t="shared" ca="1" si="15"/>
        <v>112</v>
      </c>
      <c r="BV13" s="78">
        <f t="shared" ca="1" si="16"/>
        <v>8</v>
      </c>
    </row>
    <row r="14" spans="1:75" ht="15.75" x14ac:dyDescent="0.25">
      <c r="A14" s="71" t="str">
        <f ca="1">IFERROR(__xludf.DUMMYFUNCTION("IFERROR(INDEX(FILTER(T4.2026!$A$2:$A$1000, T4.2026!$A$2:$A$1000&lt;&gt;""""), ROWS($A$9:A14)), """")"),"VP26_32")</f>
        <v>VP26_32</v>
      </c>
      <c r="B14" s="72" t="str">
        <f t="array" aca="1" ref="B14" ca="1">IF($A14="","",IFERROR(_xlfn.XLOOKUP($A14,'T4.2026'!$A$2:$A$1000,'T4.2026'!$B$2:$B$1000),""))</f>
        <v>Thạch miếng nhỏ Suso LƯỚI 800g (62 cái)</v>
      </c>
      <c r="C14" s="71" t="str">
        <f t="array" aca="1" ref="C14" ca="1">IF($A14="","",IFERROR(_xlfn.XLOOKUP($A14,'T4.2026'!$A$2:$A$1000,'T4.2026'!$C$2:$C$1000),""))</f>
        <v>Cái</v>
      </c>
      <c r="D14" s="73">
        <f t="array" aca="1" ref="D14" ca="1">IF($A14="","",ROUND(IFERROR(_xlfn.XLOOKUP($A14,'T4.2026'!$A$2:$A$1000,'T4.2026'!$D$2:$D$1000),0),0))</f>
        <v>550</v>
      </c>
      <c r="E14" s="73">
        <f t="array" aca="1" ref="E14" ca="1">IF($A14="","",IFERROR(_xlfn.XLOOKUP($A14,'T4.2026'!$A$2:$A$1000,'T4.2026'!$E$2:$E$1000),0))</f>
        <v>372</v>
      </c>
      <c r="F14" s="75">
        <f t="shared" ca="1" si="6"/>
        <v>71</v>
      </c>
      <c r="G14" s="75">
        <f t="shared" ref="G14:AI14" ca="1" si="23">IF($A14="","",IF(G$8=0,"",IF(SUM($AL14:$BO14)=0,0,ROUND($BU14*SUM($AL14:AM14)/SUM($AL14:$BO14),0)-ROUND($BU14*SUM($AL14:AL14)/SUM($AL14:$BO14),0))))</f>
        <v>70</v>
      </c>
      <c r="H14" s="75">
        <f t="shared" ca="1" si="23"/>
        <v>70</v>
      </c>
      <c r="I14" s="75">
        <f t="shared" ca="1" si="23"/>
        <v>70</v>
      </c>
      <c r="J14" s="75">
        <f t="shared" ca="1" si="23"/>
        <v>70</v>
      </c>
      <c r="K14" s="75" t="str">
        <f t="shared" ca="1" si="23"/>
        <v/>
      </c>
      <c r="L14" s="75" t="str">
        <f t="shared" ca="1" si="23"/>
        <v/>
      </c>
      <c r="M14" s="75" t="str">
        <f t="shared" ca="1" si="23"/>
        <v/>
      </c>
      <c r="N14" s="75" t="str">
        <f t="shared" ca="1" si="23"/>
        <v/>
      </c>
      <c r="O14" s="75" t="str">
        <f t="shared" ca="1" si="23"/>
        <v/>
      </c>
      <c r="P14" s="75" t="str">
        <f t="shared" ca="1" si="23"/>
        <v/>
      </c>
      <c r="Q14" s="75" t="str">
        <f t="shared" ca="1" si="23"/>
        <v/>
      </c>
      <c r="R14" s="75" t="str">
        <f t="shared" ca="1" si="23"/>
        <v/>
      </c>
      <c r="S14" s="75" t="str">
        <f t="shared" ca="1" si="23"/>
        <v/>
      </c>
      <c r="T14" s="75" t="str">
        <f t="shared" ca="1" si="23"/>
        <v/>
      </c>
      <c r="U14" s="75" t="str">
        <f t="shared" ca="1" si="23"/>
        <v/>
      </c>
      <c r="V14" s="75" t="str">
        <f t="shared" ca="1" si="23"/>
        <v/>
      </c>
      <c r="W14" s="75" t="str">
        <f t="shared" ca="1" si="23"/>
        <v/>
      </c>
      <c r="X14" s="75" t="str">
        <f t="shared" ca="1" si="23"/>
        <v/>
      </c>
      <c r="Y14" s="75" t="str">
        <f t="shared" ca="1" si="23"/>
        <v/>
      </c>
      <c r="Z14" s="75" t="str">
        <f t="shared" ca="1" si="23"/>
        <v/>
      </c>
      <c r="AA14" s="75" t="str">
        <f t="shared" ca="1" si="23"/>
        <v/>
      </c>
      <c r="AB14" s="75" t="str">
        <f t="shared" ca="1" si="23"/>
        <v/>
      </c>
      <c r="AC14" s="75" t="str">
        <f t="shared" ca="1" si="23"/>
        <v/>
      </c>
      <c r="AD14" s="75" t="str">
        <f t="shared" ca="1" si="23"/>
        <v/>
      </c>
      <c r="AE14" s="75" t="str">
        <f t="shared" ca="1" si="23"/>
        <v/>
      </c>
      <c r="AF14" s="75" t="str">
        <f t="shared" ca="1" si="23"/>
        <v/>
      </c>
      <c r="AG14" s="75" t="str">
        <f t="shared" ca="1" si="23"/>
        <v/>
      </c>
      <c r="AH14" s="75" t="str">
        <f t="shared" ca="1" si="23"/>
        <v/>
      </c>
      <c r="AI14" s="75" t="str">
        <f t="shared" ca="1" si="23"/>
        <v/>
      </c>
      <c r="AJ14" s="76">
        <f t="shared" ca="1" si="8"/>
        <v>351</v>
      </c>
      <c r="AK14" s="76">
        <f t="shared" ca="1" si="9"/>
        <v>21</v>
      </c>
      <c r="AL14" s="33">
        <f t="shared" ca="1" si="18"/>
        <v>1.007575317740496</v>
      </c>
      <c r="AM14" s="33">
        <f t="shared" ca="1" si="10"/>
        <v>1.005647318334314</v>
      </c>
      <c r="AN14" s="33">
        <f t="shared" ca="1" si="10"/>
        <v>1.0009257617469751</v>
      </c>
      <c r="AO14" s="33">
        <f t="shared" ca="1" si="10"/>
        <v>0.99521483375889042</v>
      </c>
      <c r="AP14" s="33">
        <f t="shared" ca="1" si="10"/>
        <v>0.99445593576418856</v>
      </c>
      <c r="AQ14" s="33">
        <f t="shared" ca="1" si="10"/>
        <v>0</v>
      </c>
      <c r="AR14" s="33">
        <f t="shared" ca="1" si="10"/>
        <v>0</v>
      </c>
      <c r="AS14" s="33">
        <f t="shared" ca="1" si="10"/>
        <v>0</v>
      </c>
      <c r="AT14" s="33">
        <f t="shared" ca="1" si="10"/>
        <v>0</v>
      </c>
      <c r="AU14" s="33">
        <f t="shared" ca="1" si="10"/>
        <v>0</v>
      </c>
      <c r="AV14" s="33">
        <f t="shared" ca="1" si="10"/>
        <v>0</v>
      </c>
      <c r="AW14" s="33">
        <f t="shared" ca="1" si="10"/>
        <v>0</v>
      </c>
      <c r="AX14" s="33">
        <f t="shared" ca="1" si="10"/>
        <v>0</v>
      </c>
      <c r="AY14" s="33">
        <f t="shared" ca="1" si="10"/>
        <v>0</v>
      </c>
      <c r="AZ14" s="33">
        <f t="shared" ca="1" si="10"/>
        <v>0</v>
      </c>
      <c r="BA14" s="33">
        <f t="shared" ca="1" si="10"/>
        <v>0</v>
      </c>
      <c r="BB14" s="33">
        <f t="shared" ca="1" si="10"/>
        <v>0</v>
      </c>
      <c r="BC14" s="33">
        <f t="shared" ca="1" si="10"/>
        <v>0</v>
      </c>
      <c r="BD14" s="33">
        <f t="shared" ca="1" si="10"/>
        <v>0</v>
      </c>
      <c r="BE14" s="33">
        <f t="shared" ca="1" si="10"/>
        <v>0</v>
      </c>
      <c r="BF14" s="33">
        <f t="shared" ca="1" si="10"/>
        <v>0</v>
      </c>
      <c r="BG14" s="33">
        <f t="shared" ca="1" si="10"/>
        <v>0</v>
      </c>
      <c r="BH14" s="33">
        <f t="shared" ca="1" si="10"/>
        <v>0</v>
      </c>
      <c r="BI14" s="33">
        <f t="shared" ca="1" si="10"/>
        <v>0</v>
      </c>
      <c r="BJ14" s="33">
        <f t="shared" ca="1" si="10"/>
        <v>0</v>
      </c>
      <c r="BK14" s="33">
        <f t="shared" ca="1" si="10"/>
        <v>0</v>
      </c>
      <c r="BL14" s="33">
        <f t="shared" ca="1" si="10"/>
        <v>0</v>
      </c>
      <c r="BM14" s="33">
        <f t="shared" ca="1" si="10"/>
        <v>0</v>
      </c>
      <c r="BN14" s="33">
        <f t="shared" ca="1" si="10"/>
        <v>0</v>
      </c>
      <c r="BO14" s="33">
        <f t="shared" ca="1" si="10"/>
        <v>0</v>
      </c>
      <c r="BP14" s="33" t="str">
        <f t="shared" ca="1" si="11"/>
        <v>VP26_32</v>
      </c>
      <c r="BQ14" s="77">
        <f t="shared" ca="1" si="12"/>
        <v>372</v>
      </c>
      <c r="BR14" s="77">
        <f t="shared" ca="1" si="13"/>
        <v>550</v>
      </c>
      <c r="BS14" s="78">
        <f t="shared" ca="1" si="14"/>
        <v>349</v>
      </c>
      <c r="BT14" s="77">
        <f t="shared" ca="1" si="19"/>
        <v>2</v>
      </c>
      <c r="BU14" s="77">
        <f t="shared" ca="1" si="15"/>
        <v>351</v>
      </c>
      <c r="BV14" s="78">
        <f t="shared" ca="1" si="16"/>
        <v>9</v>
      </c>
    </row>
    <row r="15" spans="1:75" ht="15.75" x14ac:dyDescent="0.25">
      <c r="A15" s="71" t="str">
        <f ca="1">IFERROR(__xludf.DUMMYFUNCTION("IFERROR(INDEX(FILTER(T4.2026!$A$2:$A$1000, T4.2026!$A$2:$A$1000&lt;&gt;""""), ROWS($A$9:A15)), """")"),"VP26_40")</f>
        <v>VP26_40</v>
      </c>
      <c r="B15" s="72" t="str">
        <f t="array" aca="1" ref="B15" ca="1">IF($A15="","",IFERROR(_xlfn.XLOOKUP($A15,'T4.2026'!$A$2:$A$1000,'T4.2026'!$B$2:$B$1000),""))</f>
        <v>Coke 300ml - Coca Chai Nhí 5K</v>
      </c>
      <c r="C15" s="71" t="str">
        <f t="array" aca="1" ref="C15" ca="1">IF($A15="","",IFERROR(_xlfn.XLOOKUP($A15,'T4.2026'!$A$2:$A$1000,'T4.2026'!$C$2:$C$1000),""))</f>
        <v>Chai</v>
      </c>
      <c r="D15" s="73">
        <f t="array" aca="1" ref="D15" ca="1">IF($A15="","",ROUND(IFERROR(_xlfn.XLOOKUP($A15,'T4.2026'!$A$2:$A$1000,'T4.2026'!$D$2:$D$1000),0),0))</f>
        <v>4285</v>
      </c>
      <c r="E15" s="73">
        <f t="array" aca="1" ref="E15" ca="1">IF($A15="","",IFERROR(_xlfn.XLOOKUP($A15,'T4.2026'!$A$2:$A$1000,'T4.2026'!$E$2:$E$1000),0))</f>
        <v>24</v>
      </c>
      <c r="F15" s="75">
        <f t="shared" ca="1" si="6"/>
        <v>4</v>
      </c>
      <c r="G15" s="75">
        <f t="shared" ref="G15:AI15" ca="1" si="24">IF($A15="","",IF(G$8=0,"",IF(SUM($AL15:$BO15)=0,0,ROUND($BU15*SUM($AL15:AM15)/SUM($AL15:$BO15),0)-ROUND($BU15*SUM($AL15:AL15)/SUM($AL15:$BO15),0))))</f>
        <v>5</v>
      </c>
      <c r="H15" s="75">
        <f t="shared" ca="1" si="24"/>
        <v>4</v>
      </c>
      <c r="I15" s="75">
        <f t="shared" ca="1" si="24"/>
        <v>5</v>
      </c>
      <c r="J15" s="75">
        <f t="shared" ca="1" si="24"/>
        <v>4</v>
      </c>
      <c r="K15" s="75" t="str">
        <f t="shared" ca="1" si="24"/>
        <v/>
      </c>
      <c r="L15" s="75" t="str">
        <f t="shared" ca="1" si="24"/>
        <v/>
      </c>
      <c r="M15" s="75" t="str">
        <f t="shared" ca="1" si="24"/>
        <v/>
      </c>
      <c r="N15" s="75" t="str">
        <f t="shared" ca="1" si="24"/>
        <v/>
      </c>
      <c r="O15" s="75" t="str">
        <f t="shared" ca="1" si="24"/>
        <v/>
      </c>
      <c r="P15" s="75" t="str">
        <f t="shared" ca="1" si="24"/>
        <v/>
      </c>
      <c r="Q15" s="75" t="str">
        <f t="shared" ca="1" si="24"/>
        <v/>
      </c>
      <c r="R15" s="75" t="str">
        <f t="shared" ca="1" si="24"/>
        <v/>
      </c>
      <c r="S15" s="75" t="str">
        <f t="shared" ca="1" si="24"/>
        <v/>
      </c>
      <c r="T15" s="75" t="str">
        <f t="shared" ca="1" si="24"/>
        <v/>
      </c>
      <c r="U15" s="75" t="str">
        <f t="shared" ca="1" si="24"/>
        <v/>
      </c>
      <c r="V15" s="75" t="str">
        <f t="shared" ca="1" si="24"/>
        <v/>
      </c>
      <c r="W15" s="75" t="str">
        <f t="shared" ca="1" si="24"/>
        <v/>
      </c>
      <c r="X15" s="75" t="str">
        <f t="shared" ca="1" si="24"/>
        <v/>
      </c>
      <c r="Y15" s="75" t="str">
        <f t="shared" ca="1" si="24"/>
        <v/>
      </c>
      <c r="Z15" s="75" t="str">
        <f t="shared" ca="1" si="24"/>
        <v/>
      </c>
      <c r="AA15" s="75" t="str">
        <f t="shared" ca="1" si="24"/>
        <v/>
      </c>
      <c r="AB15" s="75" t="str">
        <f t="shared" ca="1" si="24"/>
        <v/>
      </c>
      <c r="AC15" s="75" t="str">
        <f t="shared" ca="1" si="24"/>
        <v/>
      </c>
      <c r="AD15" s="75" t="str">
        <f t="shared" ca="1" si="24"/>
        <v/>
      </c>
      <c r="AE15" s="75" t="str">
        <f t="shared" ca="1" si="24"/>
        <v/>
      </c>
      <c r="AF15" s="75" t="str">
        <f t="shared" ca="1" si="24"/>
        <v/>
      </c>
      <c r="AG15" s="75" t="str">
        <f t="shared" ca="1" si="24"/>
        <v/>
      </c>
      <c r="AH15" s="75" t="str">
        <f t="shared" ca="1" si="24"/>
        <v/>
      </c>
      <c r="AI15" s="75" t="str">
        <f t="shared" ca="1" si="24"/>
        <v/>
      </c>
      <c r="AJ15" s="76">
        <f t="shared" ca="1" si="8"/>
        <v>22</v>
      </c>
      <c r="AK15" s="76">
        <f t="shared" ca="1" si="9"/>
        <v>2</v>
      </c>
      <c r="AL15" s="33">
        <f t="shared" ca="1" si="18"/>
        <v>1.0054111410482389</v>
      </c>
      <c r="AM15" s="33">
        <f t="shared" ca="1" si="10"/>
        <v>1.0021762484213734</v>
      </c>
      <c r="AN15" s="33">
        <f t="shared" ca="1" si="10"/>
        <v>0.99876158505471802</v>
      </c>
      <c r="AO15" s="33">
        <f t="shared" ca="1" si="10"/>
        <v>0.9959872194777456</v>
      </c>
      <c r="AP15" s="33">
        <f t="shared" ca="1" si="10"/>
        <v>0.99758326169406064</v>
      </c>
      <c r="AQ15" s="33">
        <f t="shared" ca="1" si="10"/>
        <v>0</v>
      </c>
      <c r="AR15" s="33">
        <f t="shared" ca="1" si="10"/>
        <v>0</v>
      </c>
      <c r="AS15" s="33">
        <f t="shared" ca="1" si="10"/>
        <v>0</v>
      </c>
      <c r="AT15" s="33">
        <f t="shared" ca="1" si="10"/>
        <v>0</v>
      </c>
      <c r="AU15" s="33">
        <f t="shared" ca="1" si="10"/>
        <v>0</v>
      </c>
      <c r="AV15" s="33">
        <f t="shared" ca="1" si="10"/>
        <v>0</v>
      </c>
      <c r="AW15" s="33">
        <f t="shared" ca="1" si="10"/>
        <v>0</v>
      </c>
      <c r="AX15" s="33">
        <f t="shared" ca="1" si="10"/>
        <v>0</v>
      </c>
      <c r="AY15" s="33">
        <f t="shared" ca="1" si="10"/>
        <v>0</v>
      </c>
      <c r="AZ15" s="33">
        <f t="shared" ca="1" si="10"/>
        <v>0</v>
      </c>
      <c r="BA15" s="33">
        <f t="shared" ca="1" si="10"/>
        <v>0</v>
      </c>
      <c r="BB15" s="33">
        <f t="shared" ca="1" si="10"/>
        <v>0</v>
      </c>
      <c r="BC15" s="33">
        <f t="shared" ca="1" si="10"/>
        <v>0</v>
      </c>
      <c r="BD15" s="33">
        <f t="shared" ca="1" si="10"/>
        <v>0</v>
      </c>
      <c r="BE15" s="33">
        <f t="shared" ca="1" si="10"/>
        <v>0</v>
      </c>
      <c r="BF15" s="33">
        <f t="shared" ca="1" si="10"/>
        <v>0</v>
      </c>
      <c r="BG15" s="33">
        <f t="shared" ca="1" si="10"/>
        <v>0</v>
      </c>
      <c r="BH15" s="33">
        <f t="shared" ca="1" si="10"/>
        <v>0</v>
      </c>
      <c r="BI15" s="33">
        <f t="shared" ca="1" si="10"/>
        <v>0</v>
      </c>
      <c r="BJ15" s="33">
        <f t="shared" ca="1" si="10"/>
        <v>0</v>
      </c>
      <c r="BK15" s="33">
        <f t="shared" ca="1" si="10"/>
        <v>0</v>
      </c>
      <c r="BL15" s="33">
        <f t="shared" ca="1" si="10"/>
        <v>0</v>
      </c>
      <c r="BM15" s="33">
        <f t="shared" ca="1" si="10"/>
        <v>0</v>
      </c>
      <c r="BN15" s="33">
        <f t="shared" ca="1" si="10"/>
        <v>0</v>
      </c>
      <c r="BO15" s="33">
        <f t="shared" ca="1" si="10"/>
        <v>0</v>
      </c>
      <c r="BP15" s="33" t="str">
        <f t="shared" ca="1" si="11"/>
        <v>VP26_40</v>
      </c>
      <c r="BQ15" s="77">
        <f t="shared" ca="1" si="12"/>
        <v>24</v>
      </c>
      <c r="BR15" s="77">
        <f t="shared" ca="1" si="13"/>
        <v>4285</v>
      </c>
      <c r="BS15" s="78">
        <f t="shared" ca="1" si="14"/>
        <v>22</v>
      </c>
      <c r="BT15" s="77">
        <f t="shared" ca="1" si="19"/>
        <v>0</v>
      </c>
      <c r="BU15" s="77">
        <f t="shared" ca="1" si="15"/>
        <v>22</v>
      </c>
      <c r="BV15" s="78">
        <f t="shared" ca="1" si="16"/>
        <v>10</v>
      </c>
    </row>
    <row r="16" spans="1:75" ht="15.75" x14ac:dyDescent="0.25">
      <c r="A16" s="71" t="str">
        <f ca="1">IFERROR(__xludf.DUMMYFUNCTION("IFERROR(INDEX(FILTER(T4.2026!$A$2:$A$1000, T4.2026!$A$2:$A$1000&lt;&gt;""""), ROWS($A$9:A16)), """")"),"VP26_41")</f>
        <v>VP26_41</v>
      </c>
      <c r="B16" s="72" t="str">
        <f t="array" aca="1" ref="B16" ca="1">IF($A16="","",IFERROR(_xlfn.XLOOKUP($A16,'T4.2026'!$A$2:$A$1000,'T4.2026'!$B$2:$B$1000),""))</f>
        <v>Đậu phộng Oishi 1K (20 dây/T)</v>
      </c>
      <c r="C16" s="71" t="str">
        <f t="array" aca="1" ref="C16" ca="1">IF($A16="","",IFERROR(_xlfn.XLOOKUP($A16,'T4.2026'!$A$2:$A$1000,'T4.2026'!$C$2:$C$1000),""))</f>
        <v>Dây</v>
      </c>
      <c r="D16" s="73">
        <f t="array" aca="1" ref="D16" ca="1">IF($A16="","",ROUND(IFERROR(_xlfn.XLOOKUP($A16,'T4.2026'!$A$2:$A$1000,'T4.2026'!$D$2:$D$1000),0),0))</f>
        <v>7637</v>
      </c>
      <c r="E16" s="73">
        <f t="array" aca="1" ref="E16" ca="1">IF($A16="","",IFERROR(_xlfn.XLOOKUP($A16,'T4.2026'!$A$2:$A$1000,'T4.2026'!$E$2:$E$1000),0))</f>
        <v>20</v>
      </c>
      <c r="F16" s="75">
        <f t="shared" ca="1" si="6"/>
        <v>4</v>
      </c>
      <c r="G16" s="75">
        <f t="shared" ref="G16:AI16" ca="1" si="25">IF($A16="","",IF(G$8=0,"",IF(SUM($AL16:$BO16)=0,0,ROUND($BU16*SUM($AL16:AM16)/SUM($AL16:$BO16),0)-ROUND($BU16*SUM($AL16:AL16)/SUM($AL16:$BO16),0))))</f>
        <v>3</v>
      </c>
      <c r="H16" s="75">
        <f t="shared" ca="1" si="25"/>
        <v>4</v>
      </c>
      <c r="I16" s="75">
        <f t="shared" ca="1" si="25"/>
        <v>3</v>
      </c>
      <c r="J16" s="75">
        <f t="shared" ca="1" si="25"/>
        <v>4</v>
      </c>
      <c r="K16" s="75" t="str">
        <f t="shared" ca="1" si="25"/>
        <v/>
      </c>
      <c r="L16" s="75" t="str">
        <f t="shared" ca="1" si="25"/>
        <v/>
      </c>
      <c r="M16" s="75" t="str">
        <f t="shared" ca="1" si="25"/>
        <v/>
      </c>
      <c r="N16" s="75" t="str">
        <f t="shared" ca="1" si="25"/>
        <v/>
      </c>
      <c r="O16" s="75" t="str">
        <f t="shared" ca="1" si="25"/>
        <v/>
      </c>
      <c r="P16" s="75" t="str">
        <f t="shared" ca="1" si="25"/>
        <v/>
      </c>
      <c r="Q16" s="75" t="str">
        <f t="shared" ca="1" si="25"/>
        <v/>
      </c>
      <c r="R16" s="75" t="str">
        <f t="shared" ca="1" si="25"/>
        <v/>
      </c>
      <c r="S16" s="75" t="str">
        <f t="shared" ca="1" si="25"/>
        <v/>
      </c>
      <c r="T16" s="75" t="str">
        <f t="shared" ca="1" si="25"/>
        <v/>
      </c>
      <c r="U16" s="75" t="str">
        <f t="shared" ca="1" si="25"/>
        <v/>
      </c>
      <c r="V16" s="75" t="str">
        <f t="shared" ca="1" si="25"/>
        <v/>
      </c>
      <c r="W16" s="75" t="str">
        <f t="shared" ca="1" si="25"/>
        <v/>
      </c>
      <c r="X16" s="75" t="str">
        <f t="shared" ca="1" si="25"/>
        <v/>
      </c>
      <c r="Y16" s="75" t="str">
        <f t="shared" ca="1" si="25"/>
        <v/>
      </c>
      <c r="Z16" s="75" t="str">
        <f t="shared" ca="1" si="25"/>
        <v/>
      </c>
      <c r="AA16" s="75" t="str">
        <f t="shared" ca="1" si="25"/>
        <v/>
      </c>
      <c r="AB16" s="75" t="str">
        <f t="shared" ca="1" si="25"/>
        <v/>
      </c>
      <c r="AC16" s="75" t="str">
        <f t="shared" ca="1" si="25"/>
        <v/>
      </c>
      <c r="AD16" s="75" t="str">
        <f t="shared" ca="1" si="25"/>
        <v/>
      </c>
      <c r="AE16" s="75" t="str">
        <f t="shared" ca="1" si="25"/>
        <v/>
      </c>
      <c r="AF16" s="75" t="str">
        <f t="shared" ca="1" si="25"/>
        <v/>
      </c>
      <c r="AG16" s="75" t="str">
        <f t="shared" ca="1" si="25"/>
        <v/>
      </c>
      <c r="AH16" s="75" t="str">
        <f t="shared" ca="1" si="25"/>
        <v/>
      </c>
      <c r="AI16" s="75" t="str">
        <f t="shared" ca="1" si="25"/>
        <v/>
      </c>
      <c r="AJ16" s="76">
        <f t="shared" ca="1" si="8"/>
        <v>18</v>
      </c>
      <c r="AK16" s="76">
        <f t="shared" ca="1" si="9"/>
        <v>2</v>
      </c>
      <c r="AL16" s="33">
        <f t="shared" ca="1" si="18"/>
        <v>1.0019400711352986</v>
      </c>
      <c r="AM16" s="33">
        <f t="shared" ca="1" si="10"/>
        <v>1.0000120717291163</v>
      </c>
      <c r="AN16" s="33">
        <f t="shared" ca="1" si="10"/>
        <v>0.99953397077357309</v>
      </c>
      <c r="AO16" s="33">
        <f t="shared" ca="1" si="10"/>
        <v>0.99911454540761768</v>
      </c>
      <c r="AP16" s="33">
        <f t="shared" ca="1" si="10"/>
        <v>1.0007105876239328</v>
      </c>
      <c r="AQ16" s="33">
        <f t="shared" ca="1" si="10"/>
        <v>0</v>
      </c>
      <c r="AR16" s="33">
        <f t="shared" ca="1" si="10"/>
        <v>0</v>
      </c>
      <c r="AS16" s="33">
        <f t="shared" ca="1" si="10"/>
        <v>0</v>
      </c>
      <c r="AT16" s="33">
        <f t="shared" ca="1" si="10"/>
        <v>0</v>
      </c>
      <c r="AU16" s="33">
        <f t="shared" ca="1" si="10"/>
        <v>0</v>
      </c>
      <c r="AV16" s="33">
        <f t="shared" ca="1" si="10"/>
        <v>0</v>
      </c>
      <c r="AW16" s="33">
        <f t="shared" ca="1" si="10"/>
        <v>0</v>
      </c>
      <c r="AX16" s="33">
        <f t="shared" ca="1" si="10"/>
        <v>0</v>
      </c>
      <c r="AY16" s="33">
        <f t="shared" ca="1" si="10"/>
        <v>0</v>
      </c>
      <c r="AZ16" s="33">
        <f t="shared" ca="1" si="10"/>
        <v>0</v>
      </c>
      <c r="BA16" s="33">
        <f t="shared" ca="1" si="10"/>
        <v>0</v>
      </c>
      <c r="BB16" s="33">
        <f t="shared" ca="1" si="10"/>
        <v>0</v>
      </c>
      <c r="BC16" s="33">
        <f t="shared" ca="1" si="10"/>
        <v>0</v>
      </c>
      <c r="BD16" s="33">
        <f t="shared" ca="1" si="10"/>
        <v>0</v>
      </c>
      <c r="BE16" s="33">
        <f t="shared" ca="1" si="10"/>
        <v>0</v>
      </c>
      <c r="BF16" s="33">
        <f t="shared" ca="1" si="10"/>
        <v>0</v>
      </c>
      <c r="BG16" s="33">
        <f t="shared" ca="1" si="10"/>
        <v>0</v>
      </c>
      <c r="BH16" s="33">
        <f t="shared" ca="1" si="10"/>
        <v>0</v>
      </c>
      <c r="BI16" s="33">
        <f t="shared" ca="1" si="10"/>
        <v>0</v>
      </c>
      <c r="BJ16" s="33">
        <f t="shared" ca="1" si="10"/>
        <v>0</v>
      </c>
      <c r="BK16" s="33">
        <f t="shared" ca="1" si="10"/>
        <v>0</v>
      </c>
      <c r="BL16" s="33">
        <f t="shared" ca="1" si="10"/>
        <v>0</v>
      </c>
      <c r="BM16" s="33">
        <f t="shared" ca="1" si="10"/>
        <v>0</v>
      </c>
      <c r="BN16" s="33">
        <f t="shared" ca="1" si="10"/>
        <v>0</v>
      </c>
      <c r="BO16" s="33">
        <f t="shared" ca="1" si="10"/>
        <v>0</v>
      </c>
      <c r="BP16" s="33" t="str">
        <f t="shared" ca="1" si="11"/>
        <v>VP26_41</v>
      </c>
      <c r="BQ16" s="77">
        <f t="shared" ca="1" si="12"/>
        <v>20</v>
      </c>
      <c r="BR16" s="77">
        <f t="shared" ca="1" si="13"/>
        <v>7637</v>
      </c>
      <c r="BS16" s="78">
        <f t="shared" ca="1" si="14"/>
        <v>18</v>
      </c>
      <c r="BT16" s="77">
        <f t="shared" ca="1" si="19"/>
        <v>0</v>
      </c>
      <c r="BU16" s="77">
        <f t="shared" ca="1" si="15"/>
        <v>18</v>
      </c>
      <c r="BV16" s="78">
        <f t="shared" ca="1" si="16"/>
        <v>11</v>
      </c>
    </row>
    <row r="17" spans="1:74" ht="15.75" x14ac:dyDescent="0.25">
      <c r="A17" s="71" t="str">
        <f ca="1">IFERROR(__xludf.DUMMYFUNCTION("IFERROR(INDEX(FILTER(T4.2026!$A$2:$A$1000, T4.2026!$A$2:$A$1000&lt;&gt;""""), ROWS($A$9:A17)), """")"),"VP26_43")</f>
        <v>VP26_43</v>
      </c>
      <c r="B17" s="72" t="str">
        <f t="array" aca="1" ref="B17" ca="1">IF($A17="","",IFERROR(_xlfn.XLOOKUP($A17,'T4.2026'!$A$2:$A$1000,'T4.2026'!$B$2:$B$1000),""))</f>
        <v>Thạch SUSO Cây Dài (24 cái)</v>
      </c>
      <c r="C17" s="71" t="str">
        <f t="array" aca="1" ref="C17" ca="1">IF($A17="","",IFERROR(_xlfn.XLOOKUP($A17,'T4.2026'!$A$2:$A$1000,'T4.2026'!$C$2:$C$1000),""))</f>
        <v>Cái</v>
      </c>
      <c r="D17" s="73">
        <f t="array" aca="1" ref="D17" ca="1">IF($A17="","",ROUND(IFERROR(_xlfn.XLOOKUP($A17,'T4.2026'!$A$2:$A$1000,'T4.2026'!$D$2:$D$1000),0),0))</f>
        <v>1375</v>
      </c>
      <c r="E17" s="73">
        <f t="array" aca="1" ref="E17" ca="1">IF($A17="","",IFERROR(_xlfn.XLOOKUP($A17,'T4.2026'!$A$2:$A$1000,'T4.2026'!$E$2:$E$1000),0))</f>
        <v>432</v>
      </c>
      <c r="F17" s="75">
        <f t="shared" ca="1" si="6"/>
        <v>81</v>
      </c>
      <c r="G17" s="75">
        <f t="shared" ref="G17:AI17" ca="1" si="26">IF($A17="","",IF(G$8=0,"",IF(SUM($AL17:$BO17)=0,0,ROUND($BU17*SUM($AL17:AM17)/SUM($AL17:$BO17),0)-ROUND($BU17*SUM($AL17:AL17)/SUM($AL17:$BO17),0))))</f>
        <v>81</v>
      </c>
      <c r="H17" s="75">
        <f t="shared" ca="1" si="26"/>
        <v>82</v>
      </c>
      <c r="I17" s="75">
        <f t="shared" ca="1" si="26"/>
        <v>81</v>
      </c>
      <c r="J17" s="75">
        <f t="shared" ca="1" si="26"/>
        <v>81</v>
      </c>
      <c r="K17" s="75" t="str">
        <f t="shared" ca="1" si="26"/>
        <v/>
      </c>
      <c r="L17" s="75" t="str">
        <f t="shared" ca="1" si="26"/>
        <v/>
      </c>
      <c r="M17" s="75" t="str">
        <f t="shared" ca="1" si="26"/>
        <v/>
      </c>
      <c r="N17" s="75" t="str">
        <f t="shared" ca="1" si="26"/>
        <v/>
      </c>
      <c r="O17" s="75" t="str">
        <f t="shared" ca="1" si="26"/>
        <v/>
      </c>
      <c r="P17" s="75" t="str">
        <f t="shared" ca="1" si="26"/>
        <v/>
      </c>
      <c r="Q17" s="75" t="str">
        <f t="shared" ca="1" si="26"/>
        <v/>
      </c>
      <c r="R17" s="75" t="str">
        <f t="shared" ca="1" si="26"/>
        <v/>
      </c>
      <c r="S17" s="75" t="str">
        <f t="shared" ca="1" si="26"/>
        <v/>
      </c>
      <c r="T17" s="75" t="str">
        <f t="shared" ca="1" si="26"/>
        <v/>
      </c>
      <c r="U17" s="75" t="str">
        <f t="shared" ca="1" si="26"/>
        <v/>
      </c>
      <c r="V17" s="75" t="str">
        <f t="shared" ca="1" si="26"/>
        <v/>
      </c>
      <c r="W17" s="75" t="str">
        <f t="shared" ca="1" si="26"/>
        <v/>
      </c>
      <c r="X17" s="75" t="str">
        <f t="shared" ca="1" si="26"/>
        <v/>
      </c>
      <c r="Y17" s="75" t="str">
        <f t="shared" ca="1" si="26"/>
        <v/>
      </c>
      <c r="Z17" s="75" t="str">
        <f t="shared" ca="1" si="26"/>
        <v/>
      </c>
      <c r="AA17" s="75" t="str">
        <f t="shared" ca="1" si="26"/>
        <v/>
      </c>
      <c r="AB17" s="75" t="str">
        <f t="shared" ca="1" si="26"/>
        <v/>
      </c>
      <c r="AC17" s="75" t="str">
        <f t="shared" ca="1" si="26"/>
        <v/>
      </c>
      <c r="AD17" s="75" t="str">
        <f t="shared" ca="1" si="26"/>
        <v/>
      </c>
      <c r="AE17" s="75" t="str">
        <f t="shared" ca="1" si="26"/>
        <v/>
      </c>
      <c r="AF17" s="75" t="str">
        <f t="shared" ca="1" si="26"/>
        <v/>
      </c>
      <c r="AG17" s="75" t="str">
        <f t="shared" ca="1" si="26"/>
        <v/>
      </c>
      <c r="AH17" s="75" t="str">
        <f t="shared" ca="1" si="26"/>
        <v/>
      </c>
      <c r="AI17" s="75" t="str">
        <f t="shared" ca="1" si="26"/>
        <v/>
      </c>
      <c r="AJ17" s="76">
        <f t="shared" ca="1" si="8"/>
        <v>406</v>
      </c>
      <c r="AK17" s="76">
        <f t="shared" ca="1" si="9"/>
        <v>26</v>
      </c>
      <c r="AL17" s="33">
        <f t="shared" ca="1" si="18"/>
        <v>0.99977589444304138</v>
      </c>
      <c r="AM17" s="33">
        <f t="shared" ca="1" si="10"/>
        <v>1.0007844574479716</v>
      </c>
      <c r="AN17" s="33">
        <f t="shared" ca="1" si="10"/>
        <v>1.0026612967034452</v>
      </c>
      <c r="AO17" s="33">
        <f t="shared" ca="1" si="10"/>
        <v>1.0022418713374899</v>
      </c>
      <c r="AP17" s="33">
        <f t="shared" ca="1" si="10"/>
        <v>1.0014829733427879</v>
      </c>
      <c r="AQ17" s="33">
        <f t="shared" ca="1" si="10"/>
        <v>0</v>
      </c>
      <c r="AR17" s="33">
        <f t="shared" ca="1" si="10"/>
        <v>0</v>
      </c>
      <c r="AS17" s="33">
        <f t="shared" ca="1" si="10"/>
        <v>0</v>
      </c>
      <c r="AT17" s="33">
        <f t="shared" ca="1" si="10"/>
        <v>0</v>
      </c>
      <c r="AU17" s="33">
        <f t="shared" ca="1" si="10"/>
        <v>0</v>
      </c>
      <c r="AV17" s="33">
        <f t="shared" ca="1" si="10"/>
        <v>0</v>
      </c>
      <c r="AW17" s="33">
        <f t="shared" ca="1" si="10"/>
        <v>0</v>
      </c>
      <c r="AX17" s="33">
        <f t="shared" ca="1" si="10"/>
        <v>0</v>
      </c>
      <c r="AY17" s="33">
        <f t="shared" ca="1" si="10"/>
        <v>0</v>
      </c>
      <c r="AZ17" s="33">
        <f t="shared" ca="1" si="10"/>
        <v>0</v>
      </c>
      <c r="BA17" s="33">
        <f t="shared" ca="1" si="10"/>
        <v>0</v>
      </c>
      <c r="BB17" s="33">
        <f t="shared" ca="1" si="10"/>
        <v>0</v>
      </c>
      <c r="BC17" s="33">
        <f t="shared" ca="1" si="10"/>
        <v>0</v>
      </c>
      <c r="BD17" s="33">
        <f t="shared" ca="1" si="10"/>
        <v>0</v>
      </c>
      <c r="BE17" s="33">
        <f t="shared" ca="1" si="10"/>
        <v>0</v>
      </c>
      <c r="BF17" s="33">
        <f t="shared" ca="1" si="10"/>
        <v>0</v>
      </c>
      <c r="BG17" s="33">
        <f t="shared" ca="1" si="10"/>
        <v>0</v>
      </c>
      <c r="BH17" s="33">
        <f t="shared" ca="1" si="10"/>
        <v>0</v>
      </c>
      <c r="BI17" s="33">
        <f t="shared" ca="1" si="10"/>
        <v>0</v>
      </c>
      <c r="BJ17" s="33">
        <f t="shared" ref="BJ17:BO80" ca="1" si="27">IF($A17="","",IF((COLUMN()-COLUMN($AL$9))&gt;($B$3-1),0,MAX(0.1,1+$D$3*(0.6*(2*MOD(ABS(SIN((COLUMN()-COLUMN($AL$9)+1)*12.9898+$B$2*0.0001))*43758.5453,1)-1)+0.4*SIN(($BV17+COLUMN()-COLUMN($AL$9))*2*PI()/7)))))</f>
        <v>0</v>
      </c>
      <c r="BK17" s="33">
        <f t="shared" ca="1" si="27"/>
        <v>0</v>
      </c>
      <c r="BL17" s="33">
        <f t="shared" ca="1" si="27"/>
        <v>0</v>
      </c>
      <c r="BM17" s="33">
        <f t="shared" ca="1" si="27"/>
        <v>0</v>
      </c>
      <c r="BN17" s="33">
        <f t="shared" ca="1" si="27"/>
        <v>0</v>
      </c>
      <c r="BO17" s="33">
        <f t="shared" ca="1" si="27"/>
        <v>0</v>
      </c>
      <c r="BP17" s="33" t="str">
        <f t="shared" ca="1" si="11"/>
        <v>VP26_43</v>
      </c>
      <c r="BQ17" s="77">
        <f t="shared" ca="1" si="12"/>
        <v>432</v>
      </c>
      <c r="BR17" s="77">
        <f t="shared" ca="1" si="13"/>
        <v>1375</v>
      </c>
      <c r="BS17" s="78">
        <f t="shared" ca="1" si="14"/>
        <v>406</v>
      </c>
      <c r="BT17" s="77">
        <f t="shared" ca="1" si="19"/>
        <v>0</v>
      </c>
      <c r="BU17" s="77">
        <f t="shared" ca="1" si="15"/>
        <v>406</v>
      </c>
      <c r="BV17" s="78">
        <f t="shared" ca="1" si="16"/>
        <v>12</v>
      </c>
    </row>
    <row r="18" spans="1:74" ht="15.75" x14ac:dyDescent="0.25">
      <c r="A18" s="71" t="str">
        <f ca="1">IFERROR(__xludf.DUMMYFUNCTION("IFERROR(INDEX(FILTER(T4.2026!$A$2:$A$1000, T4.2026!$A$2:$A$1000&lt;&gt;""""), ROWS($A$9:A18)), """")"),"VP26_45")</f>
        <v>VP26_45</v>
      </c>
      <c r="B18" s="72" t="str">
        <f t="array" aca="1" ref="B18" ca="1">IF($A18="","",IFERROR(_xlfn.XLOOKUP($A18,'T4.2026'!$A$2:$A$1000,'T4.2026'!$B$2:$B$1000),""))</f>
        <v>Mì Vàng Enaak 30g (24 gói/Hộp)</v>
      </c>
      <c r="C18" s="71" t="str">
        <f t="array" aca="1" ref="C18" ca="1">IF($A18="","",IFERROR(_xlfn.XLOOKUP($A18,'T4.2026'!$A$2:$A$1000,'T4.2026'!$C$2:$C$1000),""))</f>
        <v>Gói</v>
      </c>
      <c r="D18" s="73">
        <f t="array" aca="1" ref="D18" ca="1">IF($A18="","",ROUND(IFERROR(_xlfn.XLOOKUP($A18,'T4.2026'!$A$2:$A$1000,'T4.2026'!$D$2:$D$1000),0),0))</f>
        <v>5500</v>
      </c>
      <c r="E18" s="73">
        <f t="array" aca="1" ref="E18" ca="1">IF($A18="","",IFERROR(_xlfn.XLOOKUP($A18,'T4.2026'!$A$2:$A$1000,'T4.2026'!$E$2:$E$1000),0))</f>
        <v>144</v>
      </c>
      <c r="F18" s="75">
        <f t="shared" ca="1" si="6"/>
        <v>27</v>
      </c>
      <c r="G18" s="75">
        <f t="shared" ref="G18:AI18" ca="1" si="28">IF($A18="","",IF(G$8=0,"",IF(SUM($AL18:$BO18)=0,0,ROUND($BU18*SUM($AL18:AM18)/SUM($AL18:$BO18),0)-ROUND($BU18*SUM($AL18:AL18)/SUM($AL18:$BO18),0))))</f>
        <v>27</v>
      </c>
      <c r="H18" s="75">
        <f t="shared" ca="1" si="28"/>
        <v>27</v>
      </c>
      <c r="I18" s="75">
        <f t="shared" ca="1" si="28"/>
        <v>27</v>
      </c>
      <c r="J18" s="75">
        <f t="shared" ca="1" si="28"/>
        <v>27</v>
      </c>
      <c r="K18" s="75" t="str">
        <f t="shared" ca="1" si="28"/>
        <v/>
      </c>
      <c r="L18" s="75" t="str">
        <f t="shared" ca="1" si="28"/>
        <v/>
      </c>
      <c r="M18" s="75" t="str">
        <f t="shared" ca="1" si="28"/>
        <v/>
      </c>
      <c r="N18" s="75" t="str">
        <f t="shared" ca="1" si="28"/>
        <v/>
      </c>
      <c r="O18" s="75" t="str">
        <f t="shared" ca="1" si="28"/>
        <v/>
      </c>
      <c r="P18" s="75" t="str">
        <f t="shared" ca="1" si="28"/>
        <v/>
      </c>
      <c r="Q18" s="75" t="str">
        <f t="shared" ca="1" si="28"/>
        <v/>
      </c>
      <c r="R18" s="75" t="str">
        <f t="shared" ca="1" si="28"/>
        <v/>
      </c>
      <c r="S18" s="75" t="str">
        <f t="shared" ca="1" si="28"/>
        <v/>
      </c>
      <c r="T18" s="75" t="str">
        <f t="shared" ca="1" si="28"/>
        <v/>
      </c>
      <c r="U18" s="75" t="str">
        <f t="shared" ca="1" si="28"/>
        <v/>
      </c>
      <c r="V18" s="75" t="str">
        <f t="shared" ca="1" si="28"/>
        <v/>
      </c>
      <c r="W18" s="75" t="str">
        <f t="shared" ca="1" si="28"/>
        <v/>
      </c>
      <c r="X18" s="75" t="str">
        <f t="shared" ca="1" si="28"/>
        <v/>
      </c>
      <c r="Y18" s="75" t="str">
        <f t="shared" ca="1" si="28"/>
        <v/>
      </c>
      <c r="Z18" s="75" t="str">
        <f t="shared" ca="1" si="28"/>
        <v/>
      </c>
      <c r="AA18" s="75" t="str">
        <f t="shared" ca="1" si="28"/>
        <v/>
      </c>
      <c r="AB18" s="75" t="str">
        <f t="shared" ca="1" si="28"/>
        <v/>
      </c>
      <c r="AC18" s="75" t="str">
        <f t="shared" ca="1" si="28"/>
        <v/>
      </c>
      <c r="AD18" s="75" t="str">
        <f t="shared" ca="1" si="28"/>
        <v/>
      </c>
      <c r="AE18" s="75" t="str">
        <f t="shared" ca="1" si="28"/>
        <v/>
      </c>
      <c r="AF18" s="75" t="str">
        <f t="shared" ca="1" si="28"/>
        <v/>
      </c>
      <c r="AG18" s="75" t="str">
        <f t="shared" ca="1" si="28"/>
        <v/>
      </c>
      <c r="AH18" s="75" t="str">
        <f t="shared" ca="1" si="28"/>
        <v/>
      </c>
      <c r="AI18" s="75" t="str">
        <f t="shared" ca="1" si="28"/>
        <v/>
      </c>
      <c r="AJ18" s="76">
        <f t="shared" ca="1" si="8"/>
        <v>135</v>
      </c>
      <c r="AK18" s="76">
        <f t="shared" ca="1" si="9"/>
        <v>9</v>
      </c>
      <c r="AL18" s="33">
        <f t="shared" ca="1" si="18"/>
        <v>1.0005482801618966</v>
      </c>
      <c r="AM18" s="33">
        <f t="shared" ca="1" si="18"/>
        <v>1.0039117833778437</v>
      </c>
      <c r="AN18" s="33">
        <f t="shared" ca="1" si="18"/>
        <v>1.0057886226333175</v>
      </c>
      <c r="AO18" s="33">
        <f t="shared" ca="1" si="18"/>
        <v>1.0030142570563449</v>
      </c>
      <c r="AP18" s="33">
        <f t="shared" ca="1" si="18"/>
        <v>0.99931879665053092</v>
      </c>
      <c r="AQ18" s="33">
        <f t="shared" ca="1" si="18"/>
        <v>0</v>
      </c>
      <c r="AR18" s="33">
        <f t="shared" ca="1" si="18"/>
        <v>0</v>
      </c>
      <c r="AS18" s="33">
        <f t="shared" ca="1" si="18"/>
        <v>0</v>
      </c>
      <c r="AT18" s="33">
        <f t="shared" ca="1" si="18"/>
        <v>0</v>
      </c>
      <c r="AU18" s="33">
        <f t="shared" ca="1" si="18"/>
        <v>0</v>
      </c>
      <c r="AV18" s="33">
        <f t="shared" ca="1" si="18"/>
        <v>0</v>
      </c>
      <c r="AW18" s="33">
        <f t="shared" ca="1" si="18"/>
        <v>0</v>
      </c>
      <c r="AX18" s="33">
        <f t="shared" ca="1" si="18"/>
        <v>0</v>
      </c>
      <c r="AY18" s="33">
        <f t="shared" ca="1" si="18"/>
        <v>0</v>
      </c>
      <c r="AZ18" s="33">
        <f t="shared" ca="1" si="18"/>
        <v>0</v>
      </c>
      <c r="BA18" s="33">
        <f t="shared" ca="1" si="18"/>
        <v>0</v>
      </c>
      <c r="BB18" s="33">
        <f t="shared" ref="BB18:BO81" ca="1" si="29">IF($A18="","",IF((COLUMN()-COLUMN($AL$9))&gt;($B$3-1),0,MAX(0.1,1+$D$3*(0.6*(2*MOD(ABS(SIN((COLUMN()-COLUMN($AL$9)+1)*12.9898+$B$2*0.0001))*43758.5453,1)-1)+0.4*SIN(($BV18+COLUMN()-COLUMN($AL$9))*2*PI()/7)))))</f>
        <v>0</v>
      </c>
      <c r="BC18" s="33">
        <f t="shared" ca="1" si="29"/>
        <v>0</v>
      </c>
      <c r="BD18" s="33">
        <f t="shared" ca="1" si="29"/>
        <v>0</v>
      </c>
      <c r="BE18" s="33">
        <f t="shared" ca="1" si="29"/>
        <v>0</v>
      </c>
      <c r="BF18" s="33">
        <f t="shared" ca="1" si="29"/>
        <v>0</v>
      </c>
      <c r="BG18" s="33">
        <f t="shared" ca="1" si="29"/>
        <v>0</v>
      </c>
      <c r="BH18" s="33">
        <f t="shared" ca="1" si="29"/>
        <v>0</v>
      </c>
      <c r="BI18" s="33">
        <f t="shared" ca="1" si="29"/>
        <v>0</v>
      </c>
      <c r="BJ18" s="33">
        <f t="shared" ca="1" si="29"/>
        <v>0</v>
      </c>
      <c r="BK18" s="33">
        <f t="shared" ca="1" si="29"/>
        <v>0</v>
      </c>
      <c r="BL18" s="33">
        <f t="shared" ca="1" si="29"/>
        <v>0</v>
      </c>
      <c r="BM18" s="33">
        <f t="shared" ca="1" si="29"/>
        <v>0</v>
      </c>
      <c r="BN18" s="33">
        <f t="shared" ca="1" si="29"/>
        <v>0</v>
      </c>
      <c r="BO18" s="33">
        <f t="shared" ca="1" si="29"/>
        <v>0</v>
      </c>
      <c r="BP18" s="33" t="str">
        <f t="shared" ca="1" si="11"/>
        <v>VP26_45</v>
      </c>
      <c r="BQ18" s="77">
        <f t="shared" ca="1" si="12"/>
        <v>144</v>
      </c>
      <c r="BR18" s="77">
        <f t="shared" ca="1" si="13"/>
        <v>5500</v>
      </c>
      <c r="BS18" s="78">
        <f t="shared" ca="1" si="14"/>
        <v>135</v>
      </c>
      <c r="BT18" s="77">
        <f t="shared" ca="1" si="19"/>
        <v>0</v>
      </c>
      <c r="BU18" s="77">
        <f t="shared" ca="1" si="15"/>
        <v>135</v>
      </c>
      <c r="BV18" s="78">
        <f t="shared" ca="1" si="16"/>
        <v>13</v>
      </c>
    </row>
    <row r="19" spans="1:74" ht="15.75" x14ac:dyDescent="0.25">
      <c r="A19" s="71" t="str">
        <f ca="1">IFERROR(__xludf.DUMMYFUNCTION("IFERROR(INDEX(FILTER(T4.2026!$A$2:$A$1000, T4.2026!$A$2:$A$1000&lt;&gt;""""), ROWS($A$9:A19)), """")"),"VP26_46")</f>
        <v>VP26_46</v>
      </c>
      <c r="B19" s="72" t="str">
        <f t="array" aca="1" ref="B19" ca="1">IF($A19="","",IFERROR(_xlfn.XLOOKUP($A19,'T4.2026'!$A$2:$A$1000,'T4.2026'!$B$2:$B$1000),""))</f>
        <v>Nước ÉP THẠCH Suso (48 ly)</v>
      </c>
      <c r="C19" s="71" t="str">
        <f t="array" aca="1" ref="C19" ca="1">IF($A19="","",IFERROR(_xlfn.XLOOKUP($A19,'T4.2026'!$A$2:$A$1000,'T4.2026'!$C$2:$C$1000),""))</f>
        <v>Ly</v>
      </c>
      <c r="D19" s="73">
        <f t="array" aca="1" ref="D19" ca="1">IF($A19="","",ROUND(IFERROR(_xlfn.XLOOKUP($A19,'T4.2026'!$A$2:$A$1000,'T4.2026'!$D$2:$D$1000),0),0))</f>
        <v>3942</v>
      </c>
      <c r="E19" s="73">
        <f t="array" aca="1" ref="E19" ca="1">IF($A19="","",IFERROR(_xlfn.XLOOKUP($A19,'T4.2026'!$A$2:$A$1000,'T4.2026'!$E$2:$E$1000),0))</f>
        <v>480</v>
      </c>
      <c r="F19" s="75">
        <f t="shared" ca="1" si="6"/>
        <v>90</v>
      </c>
      <c r="G19" s="75">
        <f t="shared" ref="G19:AI19" ca="1" si="30">IF($A19="","",IF(G$8=0,"",IF(SUM($AL19:$BO19)=0,0,ROUND($BU19*SUM($AL19:AM19)/SUM($AL19:$BO19),0)-ROUND($BU19*SUM($AL19:AL19)/SUM($AL19:$BO19),0))))</f>
        <v>91</v>
      </c>
      <c r="H19" s="75">
        <f t="shared" ca="1" si="30"/>
        <v>90</v>
      </c>
      <c r="I19" s="75">
        <f t="shared" ca="1" si="30"/>
        <v>90</v>
      </c>
      <c r="J19" s="75">
        <f t="shared" ca="1" si="30"/>
        <v>90</v>
      </c>
      <c r="K19" s="75" t="str">
        <f t="shared" ca="1" si="30"/>
        <v/>
      </c>
      <c r="L19" s="75" t="str">
        <f t="shared" ca="1" si="30"/>
        <v/>
      </c>
      <c r="M19" s="75" t="str">
        <f t="shared" ca="1" si="30"/>
        <v/>
      </c>
      <c r="N19" s="75" t="str">
        <f t="shared" ca="1" si="30"/>
        <v/>
      </c>
      <c r="O19" s="75" t="str">
        <f t="shared" ca="1" si="30"/>
        <v/>
      </c>
      <c r="P19" s="75" t="str">
        <f t="shared" ca="1" si="30"/>
        <v/>
      </c>
      <c r="Q19" s="75" t="str">
        <f t="shared" ca="1" si="30"/>
        <v/>
      </c>
      <c r="R19" s="75" t="str">
        <f t="shared" ca="1" si="30"/>
        <v/>
      </c>
      <c r="S19" s="75" t="str">
        <f t="shared" ca="1" si="30"/>
        <v/>
      </c>
      <c r="T19" s="75" t="str">
        <f t="shared" ca="1" si="30"/>
        <v/>
      </c>
      <c r="U19" s="75" t="str">
        <f t="shared" ca="1" si="30"/>
        <v/>
      </c>
      <c r="V19" s="75" t="str">
        <f t="shared" ca="1" si="30"/>
        <v/>
      </c>
      <c r="W19" s="75" t="str">
        <f t="shared" ca="1" si="30"/>
        <v/>
      </c>
      <c r="X19" s="75" t="str">
        <f t="shared" ca="1" si="30"/>
        <v/>
      </c>
      <c r="Y19" s="75" t="str">
        <f t="shared" ca="1" si="30"/>
        <v/>
      </c>
      <c r="Z19" s="75" t="str">
        <f t="shared" ca="1" si="30"/>
        <v/>
      </c>
      <c r="AA19" s="75" t="str">
        <f t="shared" ca="1" si="30"/>
        <v/>
      </c>
      <c r="AB19" s="75" t="str">
        <f t="shared" ca="1" si="30"/>
        <v/>
      </c>
      <c r="AC19" s="75" t="str">
        <f t="shared" ca="1" si="30"/>
        <v/>
      </c>
      <c r="AD19" s="75" t="str">
        <f t="shared" ca="1" si="30"/>
        <v/>
      </c>
      <c r="AE19" s="75" t="str">
        <f t="shared" ca="1" si="30"/>
        <v/>
      </c>
      <c r="AF19" s="75" t="str">
        <f t="shared" ca="1" si="30"/>
        <v/>
      </c>
      <c r="AG19" s="75" t="str">
        <f t="shared" ca="1" si="30"/>
        <v/>
      </c>
      <c r="AH19" s="75" t="str">
        <f t="shared" ca="1" si="30"/>
        <v/>
      </c>
      <c r="AI19" s="75" t="str">
        <f t="shared" ca="1" si="30"/>
        <v/>
      </c>
      <c r="AJ19" s="76">
        <f t="shared" ca="1" si="8"/>
        <v>451</v>
      </c>
      <c r="AK19" s="76">
        <f t="shared" ca="1" si="9"/>
        <v>29</v>
      </c>
      <c r="AL19" s="33">
        <f t="shared" ca="1" si="18"/>
        <v>1.0036756060917686</v>
      </c>
      <c r="AM19" s="33">
        <f t="shared" ca="1" si="18"/>
        <v>1.0070391093077158</v>
      </c>
      <c r="AN19" s="33">
        <f t="shared" ca="1" si="18"/>
        <v>1.0065610083521725</v>
      </c>
      <c r="AO19" s="33">
        <f t="shared" ca="1" si="18"/>
        <v>1.0008500803640878</v>
      </c>
      <c r="AP19" s="33">
        <f t="shared" ca="1" si="18"/>
        <v>0.99584772673759037</v>
      </c>
      <c r="AQ19" s="33">
        <f t="shared" ca="1" si="18"/>
        <v>0</v>
      </c>
      <c r="AR19" s="33">
        <f t="shared" ca="1" si="18"/>
        <v>0</v>
      </c>
      <c r="AS19" s="33">
        <f t="shared" ca="1" si="18"/>
        <v>0</v>
      </c>
      <c r="AT19" s="33">
        <f t="shared" ca="1" si="18"/>
        <v>0</v>
      </c>
      <c r="AU19" s="33">
        <f t="shared" ca="1" si="18"/>
        <v>0</v>
      </c>
      <c r="AV19" s="33">
        <f t="shared" ca="1" si="18"/>
        <v>0</v>
      </c>
      <c r="AW19" s="33">
        <f t="shared" ca="1" si="18"/>
        <v>0</v>
      </c>
      <c r="AX19" s="33">
        <f t="shared" ca="1" si="18"/>
        <v>0</v>
      </c>
      <c r="AY19" s="33">
        <f t="shared" ca="1" si="18"/>
        <v>0</v>
      </c>
      <c r="AZ19" s="33">
        <f t="shared" ca="1" si="18"/>
        <v>0</v>
      </c>
      <c r="BA19" s="33">
        <f t="shared" ca="1" si="18"/>
        <v>0</v>
      </c>
      <c r="BB19" s="33">
        <f t="shared" ca="1" si="29"/>
        <v>0</v>
      </c>
      <c r="BC19" s="33">
        <f t="shared" ca="1" si="29"/>
        <v>0</v>
      </c>
      <c r="BD19" s="33">
        <f t="shared" ca="1" si="29"/>
        <v>0</v>
      </c>
      <c r="BE19" s="33">
        <f t="shared" ca="1" si="29"/>
        <v>0</v>
      </c>
      <c r="BF19" s="33">
        <f t="shared" ca="1" si="29"/>
        <v>0</v>
      </c>
      <c r="BG19" s="33">
        <f t="shared" ca="1" si="29"/>
        <v>0</v>
      </c>
      <c r="BH19" s="33">
        <f t="shared" ca="1" si="29"/>
        <v>0</v>
      </c>
      <c r="BI19" s="33">
        <f t="shared" ca="1" si="29"/>
        <v>0</v>
      </c>
      <c r="BJ19" s="33">
        <f t="shared" ca="1" si="29"/>
        <v>0</v>
      </c>
      <c r="BK19" s="33">
        <f t="shared" ca="1" si="29"/>
        <v>0</v>
      </c>
      <c r="BL19" s="33">
        <f t="shared" ca="1" si="29"/>
        <v>0</v>
      </c>
      <c r="BM19" s="33">
        <f t="shared" ca="1" si="29"/>
        <v>0</v>
      </c>
      <c r="BN19" s="33">
        <f t="shared" ca="1" si="29"/>
        <v>0</v>
      </c>
      <c r="BO19" s="33">
        <f t="shared" ca="1" si="29"/>
        <v>0</v>
      </c>
      <c r="BP19" s="33" t="str">
        <f t="shared" ca="1" si="11"/>
        <v>VP26_46</v>
      </c>
      <c r="BQ19" s="77">
        <f t="shared" ca="1" si="12"/>
        <v>480</v>
      </c>
      <c r="BR19" s="77">
        <f t="shared" ca="1" si="13"/>
        <v>3942</v>
      </c>
      <c r="BS19" s="78">
        <f t="shared" ca="1" si="14"/>
        <v>451</v>
      </c>
      <c r="BT19" s="77">
        <f t="shared" ca="1" si="19"/>
        <v>0</v>
      </c>
      <c r="BU19" s="77">
        <f t="shared" ca="1" si="15"/>
        <v>451</v>
      </c>
      <c r="BV19" s="78">
        <f t="shared" ca="1" si="16"/>
        <v>14</v>
      </c>
    </row>
    <row r="20" spans="1:74" ht="15.75" x14ac:dyDescent="0.25">
      <c r="A20" s="71" t="str">
        <f ca="1">IFERROR(__xludf.DUMMYFUNCTION("IFERROR(INDEX(FILTER(T4.2026!$A$2:$A$1000, T4.2026!$A$2:$A$1000&lt;&gt;""""), ROWS($A$9:A20)), """")"),"VP26_47")</f>
        <v>VP26_47</v>
      </c>
      <c r="B20" s="72" t="str">
        <f t="array" aca="1" ref="B20" ca="1">IF($A20="","",IFERROR(_xlfn.XLOOKUP($A20,'T4.2026'!$A$2:$A$1000,'T4.2026'!$B$2:$B$1000),""))</f>
        <v>Kẹo Cao Su Dinos 500g (69 viên)</v>
      </c>
      <c r="C20" s="71" t="str">
        <f t="array" aca="1" ref="C20" ca="1">IF($A20="","",IFERROR(_xlfn.XLOOKUP($A20,'T4.2026'!$A$2:$A$1000,'T4.2026'!$C$2:$C$1000),""))</f>
        <v>Viên</v>
      </c>
      <c r="D20" s="73">
        <f t="array" aca="1" ref="D20" ca="1">IF($A20="","",ROUND(IFERROR(_xlfn.XLOOKUP($A20,'T4.2026'!$A$2:$A$1000,'T4.2026'!$D$2:$D$1000),0),0))</f>
        <v>829</v>
      </c>
      <c r="E20" s="73">
        <f t="array" aca="1" ref="E20" ca="1">IF($A20="","",IFERROR(_xlfn.XLOOKUP($A20,'T4.2026'!$A$2:$A$1000,'T4.2026'!$E$2:$E$1000),0))</f>
        <v>759</v>
      </c>
      <c r="F20" s="75">
        <f t="shared" ca="1" si="6"/>
        <v>143</v>
      </c>
      <c r="G20" s="75">
        <f t="shared" ref="G20:AI20" ca="1" si="31">IF($A20="","",IF(G$8=0,"",IF(SUM($AL20:$BO20)=0,0,ROUND($BU20*SUM($AL20:AM20)/SUM($AL20:$BO20),0)-ROUND($BU20*SUM($AL20:AL20)/SUM($AL20:$BO20),0))))</f>
        <v>144</v>
      </c>
      <c r="H20" s="75">
        <f t="shared" ca="1" si="31"/>
        <v>143</v>
      </c>
      <c r="I20" s="75">
        <f t="shared" ca="1" si="31"/>
        <v>142</v>
      </c>
      <c r="J20" s="75">
        <f t="shared" ca="1" si="31"/>
        <v>141</v>
      </c>
      <c r="K20" s="75" t="str">
        <f t="shared" ca="1" si="31"/>
        <v/>
      </c>
      <c r="L20" s="75" t="str">
        <f t="shared" ca="1" si="31"/>
        <v/>
      </c>
      <c r="M20" s="75" t="str">
        <f t="shared" ca="1" si="31"/>
        <v/>
      </c>
      <c r="N20" s="75" t="str">
        <f t="shared" ca="1" si="31"/>
        <v/>
      </c>
      <c r="O20" s="75" t="str">
        <f t="shared" ca="1" si="31"/>
        <v/>
      </c>
      <c r="P20" s="75" t="str">
        <f t="shared" ca="1" si="31"/>
        <v/>
      </c>
      <c r="Q20" s="75" t="str">
        <f t="shared" ca="1" si="31"/>
        <v/>
      </c>
      <c r="R20" s="75" t="str">
        <f t="shared" ca="1" si="31"/>
        <v/>
      </c>
      <c r="S20" s="75" t="str">
        <f t="shared" ca="1" si="31"/>
        <v/>
      </c>
      <c r="T20" s="75" t="str">
        <f t="shared" ca="1" si="31"/>
        <v/>
      </c>
      <c r="U20" s="75" t="str">
        <f t="shared" ca="1" si="31"/>
        <v/>
      </c>
      <c r="V20" s="75" t="str">
        <f t="shared" ca="1" si="31"/>
        <v/>
      </c>
      <c r="W20" s="75" t="str">
        <f t="shared" ca="1" si="31"/>
        <v/>
      </c>
      <c r="X20" s="75" t="str">
        <f t="shared" ca="1" si="31"/>
        <v/>
      </c>
      <c r="Y20" s="75" t="str">
        <f t="shared" ca="1" si="31"/>
        <v/>
      </c>
      <c r="Z20" s="75" t="str">
        <f t="shared" ca="1" si="31"/>
        <v/>
      </c>
      <c r="AA20" s="75" t="str">
        <f t="shared" ca="1" si="31"/>
        <v/>
      </c>
      <c r="AB20" s="75" t="str">
        <f t="shared" ca="1" si="31"/>
        <v/>
      </c>
      <c r="AC20" s="75" t="str">
        <f t="shared" ca="1" si="31"/>
        <v/>
      </c>
      <c r="AD20" s="75" t="str">
        <f t="shared" ca="1" si="31"/>
        <v/>
      </c>
      <c r="AE20" s="75" t="str">
        <f t="shared" ca="1" si="31"/>
        <v/>
      </c>
      <c r="AF20" s="75" t="str">
        <f t="shared" ca="1" si="31"/>
        <v/>
      </c>
      <c r="AG20" s="75" t="str">
        <f t="shared" ca="1" si="31"/>
        <v/>
      </c>
      <c r="AH20" s="75" t="str">
        <f t="shared" ca="1" si="31"/>
        <v/>
      </c>
      <c r="AI20" s="75" t="str">
        <f t="shared" ca="1" si="31"/>
        <v/>
      </c>
      <c r="AJ20" s="76">
        <f t="shared" ca="1" si="8"/>
        <v>713</v>
      </c>
      <c r="AK20" s="76">
        <f t="shared" ca="1" si="9"/>
        <v>46</v>
      </c>
      <c r="AL20" s="33">
        <f t="shared" ca="1" si="18"/>
        <v>1.0068029320216407</v>
      </c>
      <c r="AM20" s="33">
        <f t="shared" ca="1" si="18"/>
        <v>1.0078114950265711</v>
      </c>
      <c r="AN20" s="33">
        <f t="shared" ca="1" si="18"/>
        <v>1.0043968316599154</v>
      </c>
      <c r="AO20" s="33">
        <f t="shared" ca="1" si="18"/>
        <v>0.99737901045114752</v>
      </c>
      <c r="AP20" s="33">
        <f t="shared" ca="1" si="18"/>
        <v>0.99368355004533337</v>
      </c>
      <c r="AQ20" s="33">
        <f t="shared" ca="1" si="18"/>
        <v>0</v>
      </c>
      <c r="AR20" s="33">
        <f t="shared" ca="1" si="18"/>
        <v>0</v>
      </c>
      <c r="AS20" s="33">
        <f t="shared" ca="1" si="18"/>
        <v>0</v>
      </c>
      <c r="AT20" s="33">
        <f t="shared" ca="1" si="18"/>
        <v>0</v>
      </c>
      <c r="AU20" s="33">
        <f t="shared" ca="1" si="18"/>
        <v>0</v>
      </c>
      <c r="AV20" s="33">
        <f t="shared" ca="1" si="18"/>
        <v>0</v>
      </c>
      <c r="AW20" s="33">
        <f t="shared" ca="1" si="18"/>
        <v>0</v>
      </c>
      <c r="AX20" s="33">
        <f t="shared" ca="1" si="18"/>
        <v>0</v>
      </c>
      <c r="AY20" s="33">
        <f t="shared" ca="1" si="18"/>
        <v>0</v>
      </c>
      <c r="AZ20" s="33">
        <f t="shared" ca="1" si="18"/>
        <v>0</v>
      </c>
      <c r="BA20" s="33">
        <f t="shared" ca="1" si="18"/>
        <v>0</v>
      </c>
      <c r="BB20" s="33">
        <f t="shared" ca="1" si="29"/>
        <v>0</v>
      </c>
      <c r="BC20" s="33">
        <f t="shared" ca="1" si="29"/>
        <v>0</v>
      </c>
      <c r="BD20" s="33">
        <f t="shared" ca="1" si="29"/>
        <v>0</v>
      </c>
      <c r="BE20" s="33">
        <f t="shared" ca="1" si="29"/>
        <v>0</v>
      </c>
      <c r="BF20" s="33">
        <f t="shared" ca="1" si="29"/>
        <v>0</v>
      </c>
      <c r="BG20" s="33">
        <f t="shared" ca="1" si="29"/>
        <v>0</v>
      </c>
      <c r="BH20" s="33">
        <f t="shared" ca="1" si="29"/>
        <v>0</v>
      </c>
      <c r="BI20" s="33">
        <f t="shared" ca="1" si="29"/>
        <v>0</v>
      </c>
      <c r="BJ20" s="33">
        <f t="shared" ca="1" si="29"/>
        <v>0</v>
      </c>
      <c r="BK20" s="33">
        <f t="shared" ca="1" si="29"/>
        <v>0</v>
      </c>
      <c r="BL20" s="33">
        <f t="shared" ca="1" si="29"/>
        <v>0</v>
      </c>
      <c r="BM20" s="33">
        <f t="shared" ca="1" si="29"/>
        <v>0</v>
      </c>
      <c r="BN20" s="33">
        <f t="shared" ca="1" si="29"/>
        <v>0</v>
      </c>
      <c r="BO20" s="33">
        <f t="shared" ca="1" si="29"/>
        <v>0</v>
      </c>
      <c r="BP20" s="33" t="str">
        <f t="shared" ca="1" si="11"/>
        <v>VP26_47</v>
      </c>
      <c r="BQ20" s="77">
        <f t="shared" ca="1" si="12"/>
        <v>759</v>
      </c>
      <c r="BR20" s="77">
        <f t="shared" ca="1" si="13"/>
        <v>829</v>
      </c>
      <c r="BS20" s="78">
        <f t="shared" ca="1" si="14"/>
        <v>713</v>
      </c>
      <c r="BT20" s="77">
        <f t="shared" ca="1" si="19"/>
        <v>0</v>
      </c>
      <c r="BU20" s="77">
        <f t="shared" ca="1" si="15"/>
        <v>713</v>
      </c>
      <c r="BV20" s="78">
        <f t="shared" ca="1" si="16"/>
        <v>15</v>
      </c>
    </row>
    <row r="21" spans="1:74" ht="15.75" customHeight="1" x14ac:dyDescent="0.25">
      <c r="A21" s="71" t="str">
        <f ca="1">IFERROR(__xludf.DUMMYFUNCTION("IFERROR(INDEX(FILTER(T4.2026!$A$2:$A$1000, T4.2026!$A$2:$A$1000&lt;&gt;""""), ROWS($A$9:A21)), """")"),"VP26_49")</f>
        <v>VP26_49</v>
      </c>
      <c r="B21" s="72" t="str">
        <f t="array" aca="1" ref="B21" ca="1">IF($A21="","",IFERROR(_xlfn.XLOOKUP($A21,'T4.2026'!$A$2:$A$1000,'T4.2026'!$B$2:$B$1000),""))</f>
        <v>Bánh Mứt Dâu Xá 4kg PC</v>
      </c>
      <c r="C21" s="71" t="str">
        <f t="array" aca="1" ref="C21" ca="1">IF($A21="","",IFERROR(_xlfn.XLOOKUP($A21,'T4.2026'!$A$2:$A$1000,'T4.2026'!$C$2:$C$1000),""))</f>
        <v>kg</v>
      </c>
      <c r="D21" s="73">
        <f t="array" aca="1" ref="D21" ca="1">IF($A21="","",ROUND(IFERROR(_xlfn.XLOOKUP($A21,'T4.2026'!$A$2:$A$1000,'T4.2026'!$D$2:$D$1000),0),0))</f>
        <v>61875</v>
      </c>
      <c r="E21" s="73">
        <f t="array" aca="1" ref="E21" ca="1">IF($A21="","",IFERROR(_xlfn.XLOOKUP($A21,'T4.2026'!$A$2:$A$1000,'T4.2026'!$E$2:$E$1000),0))</f>
        <v>4</v>
      </c>
      <c r="F21" s="75">
        <f t="shared" ca="1" si="6"/>
        <v>1</v>
      </c>
      <c r="G21" s="75">
        <f t="shared" ref="G21:AI21" ca="1" si="32">IF($A21="","",IF(G$8=0,"",IF(SUM($AL21:$BO21)=0,0,ROUND($BU21*SUM($AL21:AM21)/SUM($AL21:$BO21),0)-ROUND($BU21*SUM($AL21:AL21)/SUM($AL21:$BO21),0))))</f>
        <v>0</v>
      </c>
      <c r="H21" s="75">
        <f t="shared" ca="1" si="32"/>
        <v>1</v>
      </c>
      <c r="I21" s="75">
        <f t="shared" ca="1" si="32"/>
        <v>0</v>
      </c>
      <c r="J21" s="75">
        <f t="shared" ca="1" si="32"/>
        <v>1</v>
      </c>
      <c r="K21" s="75" t="str">
        <f t="shared" ca="1" si="32"/>
        <v/>
      </c>
      <c r="L21" s="75" t="str">
        <f t="shared" ca="1" si="32"/>
        <v/>
      </c>
      <c r="M21" s="75" t="str">
        <f t="shared" ca="1" si="32"/>
        <v/>
      </c>
      <c r="N21" s="75" t="str">
        <f t="shared" ca="1" si="32"/>
        <v/>
      </c>
      <c r="O21" s="75" t="str">
        <f t="shared" ca="1" si="32"/>
        <v/>
      </c>
      <c r="P21" s="75" t="str">
        <f t="shared" ca="1" si="32"/>
        <v/>
      </c>
      <c r="Q21" s="75" t="str">
        <f t="shared" ca="1" si="32"/>
        <v/>
      </c>
      <c r="R21" s="75" t="str">
        <f t="shared" ca="1" si="32"/>
        <v/>
      </c>
      <c r="S21" s="75" t="str">
        <f t="shared" ca="1" si="32"/>
        <v/>
      </c>
      <c r="T21" s="75" t="str">
        <f t="shared" ca="1" si="32"/>
        <v/>
      </c>
      <c r="U21" s="75" t="str">
        <f t="shared" ca="1" si="32"/>
        <v/>
      </c>
      <c r="V21" s="75" t="str">
        <f t="shared" ca="1" si="32"/>
        <v/>
      </c>
      <c r="W21" s="75" t="str">
        <f t="shared" ca="1" si="32"/>
        <v/>
      </c>
      <c r="X21" s="75" t="str">
        <f t="shared" ca="1" si="32"/>
        <v/>
      </c>
      <c r="Y21" s="75" t="str">
        <f t="shared" ca="1" si="32"/>
        <v/>
      </c>
      <c r="Z21" s="75" t="str">
        <f t="shared" ca="1" si="32"/>
        <v/>
      </c>
      <c r="AA21" s="75" t="str">
        <f t="shared" ca="1" si="32"/>
        <v/>
      </c>
      <c r="AB21" s="75" t="str">
        <f t="shared" ca="1" si="32"/>
        <v/>
      </c>
      <c r="AC21" s="75" t="str">
        <f t="shared" ca="1" si="32"/>
        <v/>
      </c>
      <c r="AD21" s="75" t="str">
        <f t="shared" ca="1" si="32"/>
        <v/>
      </c>
      <c r="AE21" s="75" t="str">
        <f t="shared" ca="1" si="32"/>
        <v/>
      </c>
      <c r="AF21" s="75" t="str">
        <f t="shared" ca="1" si="32"/>
        <v/>
      </c>
      <c r="AG21" s="75" t="str">
        <f t="shared" ca="1" si="32"/>
        <v/>
      </c>
      <c r="AH21" s="75" t="str">
        <f t="shared" ca="1" si="32"/>
        <v/>
      </c>
      <c r="AI21" s="75" t="str">
        <f t="shared" ca="1" si="32"/>
        <v/>
      </c>
      <c r="AJ21" s="76">
        <f t="shared" ca="1" si="8"/>
        <v>3</v>
      </c>
      <c r="AK21" s="76">
        <f t="shared" ca="1" si="9"/>
        <v>1</v>
      </c>
      <c r="AL21" s="33">
        <f t="shared" ca="1" si="18"/>
        <v>1.007575317740496</v>
      </c>
      <c r="AM21" s="33">
        <f t="shared" ca="1" si="18"/>
        <v>1.005647318334314</v>
      </c>
      <c r="AN21" s="33">
        <f t="shared" ca="1" si="18"/>
        <v>1.0009257617469751</v>
      </c>
      <c r="AO21" s="33">
        <f t="shared" ca="1" si="18"/>
        <v>0.99521483375889042</v>
      </c>
      <c r="AP21" s="33">
        <f t="shared" ca="1" si="18"/>
        <v>0.99445593576418856</v>
      </c>
      <c r="AQ21" s="33">
        <f t="shared" ca="1" si="18"/>
        <v>0</v>
      </c>
      <c r="AR21" s="33">
        <f t="shared" ca="1" si="18"/>
        <v>0</v>
      </c>
      <c r="AS21" s="33">
        <f t="shared" ca="1" si="18"/>
        <v>0</v>
      </c>
      <c r="AT21" s="33">
        <f t="shared" ca="1" si="18"/>
        <v>0</v>
      </c>
      <c r="AU21" s="33">
        <f t="shared" ca="1" si="18"/>
        <v>0</v>
      </c>
      <c r="AV21" s="33">
        <f t="shared" ca="1" si="18"/>
        <v>0</v>
      </c>
      <c r="AW21" s="33">
        <f t="shared" ca="1" si="18"/>
        <v>0</v>
      </c>
      <c r="AX21" s="33">
        <f t="shared" ca="1" si="18"/>
        <v>0</v>
      </c>
      <c r="AY21" s="33">
        <f t="shared" ca="1" si="18"/>
        <v>0</v>
      </c>
      <c r="AZ21" s="33">
        <f t="shared" ca="1" si="18"/>
        <v>0</v>
      </c>
      <c r="BA21" s="33">
        <f t="shared" ca="1" si="18"/>
        <v>0</v>
      </c>
      <c r="BB21" s="33">
        <f t="shared" ca="1" si="29"/>
        <v>0</v>
      </c>
      <c r="BC21" s="33">
        <f t="shared" ca="1" si="29"/>
        <v>0</v>
      </c>
      <c r="BD21" s="33">
        <f t="shared" ca="1" si="29"/>
        <v>0</v>
      </c>
      <c r="BE21" s="33">
        <f t="shared" ca="1" si="29"/>
        <v>0</v>
      </c>
      <c r="BF21" s="33">
        <f t="shared" ca="1" si="29"/>
        <v>0</v>
      </c>
      <c r="BG21" s="33">
        <f t="shared" ca="1" si="29"/>
        <v>0</v>
      </c>
      <c r="BH21" s="33">
        <f t="shared" ca="1" si="29"/>
        <v>0</v>
      </c>
      <c r="BI21" s="33">
        <f t="shared" ca="1" si="29"/>
        <v>0</v>
      </c>
      <c r="BJ21" s="33">
        <f t="shared" ca="1" si="29"/>
        <v>0</v>
      </c>
      <c r="BK21" s="33">
        <f t="shared" ca="1" si="29"/>
        <v>0</v>
      </c>
      <c r="BL21" s="33">
        <f t="shared" ca="1" si="29"/>
        <v>0</v>
      </c>
      <c r="BM21" s="33">
        <f t="shared" ca="1" si="29"/>
        <v>0</v>
      </c>
      <c r="BN21" s="33">
        <f t="shared" ca="1" si="29"/>
        <v>0</v>
      </c>
      <c r="BO21" s="33">
        <f t="shared" ca="1" si="29"/>
        <v>0</v>
      </c>
      <c r="BP21" s="33" t="str">
        <f t="shared" ca="1" si="11"/>
        <v>VP26_49</v>
      </c>
      <c r="BQ21" s="77">
        <f t="shared" ca="1" si="12"/>
        <v>4</v>
      </c>
      <c r="BR21" s="77">
        <f t="shared" ca="1" si="13"/>
        <v>61875</v>
      </c>
      <c r="BS21" s="78">
        <f t="shared" ca="1" si="14"/>
        <v>3</v>
      </c>
      <c r="BT21" s="77">
        <f t="shared" ca="1" si="19"/>
        <v>0</v>
      </c>
      <c r="BU21" s="77">
        <f t="shared" ca="1" si="15"/>
        <v>3</v>
      </c>
      <c r="BV21" s="78">
        <f t="shared" ca="1" si="16"/>
        <v>16</v>
      </c>
    </row>
    <row r="22" spans="1:74" ht="15.75" customHeight="1" x14ac:dyDescent="0.25">
      <c r="A22" s="71" t="str">
        <f ca="1">IFERROR(__xludf.DUMMYFUNCTION("IFERROR(INDEX(FILTER(T4.2026!$A$2:$A$1000, T4.2026!$A$2:$A$1000&lt;&gt;""""), ROWS($A$9:A22)), """")"),"VP26_50")</f>
        <v>VP26_50</v>
      </c>
      <c r="B22" s="72" t="str">
        <f t="array" aca="1" ref="B22" ca="1">IF($A22="","",IFERROR(_xlfn.XLOOKUP($A22,'T4.2026'!$A$2:$A$1000,'T4.2026'!$B$2:$B$1000),""))</f>
        <v>Nước Túi Oishi (10 túi x 5 bịch / T)</v>
      </c>
      <c r="C22" s="71" t="str">
        <f t="array" aca="1" ref="C22" ca="1">IF($A22="","",IFERROR(_xlfn.XLOOKUP($A22,'T4.2026'!$A$2:$A$1000,'T4.2026'!$C$2:$C$1000),""))</f>
        <v>Túi</v>
      </c>
      <c r="D22" s="73">
        <f t="array" aca="1" ref="D22" ca="1">IF($A22="","",ROUND(IFERROR(_xlfn.XLOOKUP($A22,'T4.2026'!$A$2:$A$1000,'T4.2026'!$D$2:$D$1000),0),0))</f>
        <v>2560</v>
      </c>
      <c r="E22" s="73">
        <f t="array" aca="1" ref="E22" ca="1">IF($A22="","",IFERROR(_xlfn.XLOOKUP($A22,'T4.2026'!$A$2:$A$1000,'T4.2026'!$E$2:$E$1000),0))</f>
        <v>500</v>
      </c>
      <c r="F22" s="75">
        <f t="shared" ca="1" si="6"/>
        <v>95</v>
      </c>
      <c r="G22" s="75">
        <f t="shared" ref="G22:AI22" ca="1" si="33">IF($A22="","",IF(G$8=0,"",IF(SUM($AL22:$BO22)=0,0,ROUND($BU22*SUM($AL22:AM22)/SUM($AL22:$BO22),0)-ROUND($BU22*SUM($AL22:AL22)/SUM($AL22:$BO22),0))))</f>
        <v>94</v>
      </c>
      <c r="H22" s="75">
        <f t="shared" ca="1" si="33"/>
        <v>94</v>
      </c>
      <c r="I22" s="75">
        <f t="shared" ca="1" si="33"/>
        <v>93</v>
      </c>
      <c r="J22" s="75">
        <f t="shared" ca="1" si="33"/>
        <v>94</v>
      </c>
      <c r="K22" s="75" t="str">
        <f t="shared" ca="1" si="33"/>
        <v/>
      </c>
      <c r="L22" s="75" t="str">
        <f t="shared" ca="1" si="33"/>
        <v/>
      </c>
      <c r="M22" s="75" t="str">
        <f t="shared" ca="1" si="33"/>
        <v/>
      </c>
      <c r="N22" s="75" t="str">
        <f t="shared" ca="1" si="33"/>
        <v/>
      </c>
      <c r="O22" s="75" t="str">
        <f t="shared" ca="1" si="33"/>
        <v/>
      </c>
      <c r="P22" s="75" t="str">
        <f t="shared" ca="1" si="33"/>
        <v/>
      </c>
      <c r="Q22" s="75" t="str">
        <f t="shared" ca="1" si="33"/>
        <v/>
      </c>
      <c r="R22" s="75" t="str">
        <f t="shared" ca="1" si="33"/>
        <v/>
      </c>
      <c r="S22" s="75" t="str">
        <f t="shared" ca="1" si="33"/>
        <v/>
      </c>
      <c r="T22" s="75" t="str">
        <f t="shared" ca="1" si="33"/>
        <v/>
      </c>
      <c r="U22" s="75" t="str">
        <f t="shared" ca="1" si="33"/>
        <v/>
      </c>
      <c r="V22" s="75" t="str">
        <f t="shared" ca="1" si="33"/>
        <v/>
      </c>
      <c r="W22" s="75" t="str">
        <f t="shared" ca="1" si="33"/>
        <v/>
      </c>
      <c r="X22" s="75" t="str">
        <f t="shared" ca="1" si="33"/>
        <v/>
      </c>
      <c r="Y22" s="75" t="str">
        <f t="shared" ca="1" si="33"/>
        <v/>
      </c>
      <c r="Z22" s="75" t="str">
        <f t="shared" ca="1" si="33"/>
        <v/>
      </c>
      <c r="AA22" s="75" t="str">
        <f t="shared" ca="1" si="33"/>
        <v/>
      </c>
      <c r="AB22" s="75" t="str">
        <f t="shared" ca="1" si="33"/>
        <v/>
      </c>
      <c r="AC22" s="75" t="str">
        <f t="shared" ca="1" si="33"/>
        <v/>
      </c>
      <c r="AD22" s="75" t="str">
        <f t="shared" ca="1" si="33"/>
        <v/>
      </c>
      <c r="AE22" s="75" t="str">
        <f t="shared" ca="1" si="33"/>
        <v/>
      </c>
      <c r="AF22" s="75" t="str">
        <f t="shared" ca="1" si="33"/>
        <v/>
      </c>
      <c r="AG22" s="75" t="str">
        <f t="shared" ca="1" si="33"/>
        <v/>
      </c>
      <c r="AH22" s="75" t="str">
        <f t="shared" ca="1" si="33"/>
        <v/>
      </c>
      <c r="AI22" s="75" t="str">
        <f t="shared" ca="1" si="33"/>
        <v/>
      </c>
      <c r="AJ22" s="76">
        <f t="shared" ca="1" si="8"/>
        <v>470</v>
      </c>
      <c r="AK22" s="76">
        <f t="shared" ca="1" si="9"/>
        <v>30</v>
      </c>
      <c r="AL22" s="33">
        <f t="shared" ca="1" si="18"/>
        <v>1.0054111410482389</v>
      </c>
      <c r="AM22" s="33">
        <f t="shared" ca="1" si="18"/>
        <v>1.0021762484213734</v>
      </c>
      <c r="AN22" s="33">
        <f t="shared" ca="1" si="18"/>
        <v>0.99876158505471802</v>
      </c>
      <c r="AO22" s="33">
        <f t="shared" ca="1" si="18"/>
        <v>0.9959872194777456</v>
      </c>
      <c r="AP22" s="33">
        <f t="shared" ca="1" si="18"/>
        <v>0.99758326169406064</v>
      </c>
      <c r="AQ22" s="33">
        <f t="shared" ca="1" si="18"/>
        <v>0</v>
      </c>
      <c r="AR22" s="33">
        <f t="shared" ca="1" si="18"/>
        <v>0</v>
      </c>
      <c r="AS22" s="33">
        <f t="shared" ca="1" si="18"/>
        <v>0</v>
      </c>
      <c r="AT22" s="33">
        <f t="shared" ca="1" si="18"/>
        <v>0</v>
      </c>
      <c r="AU22" s="33">
        <f t="shared" ca="1" si="18"/>
        <v>0</v>
      </c>
      <c r="AV22" s="33">
        <f t="shared" ca="1" si="18"/>
        <v>0</v>
      </c>
      <c r="AW22" s="33">
        <f t="shared" ca="1" si="18"/>
        <v>0</v>
      </c>
      <c r="AX22" s="33">
        <f t="shared" ca="1" si="18"/>
        <v>0</v>
      </c>
      <c r="AY22" s="33">
        <f t="shared" ca="1" si="18"/>
        <v>0</v>
      </c>
      <c r="AZ22" s="33">
        <f t="shared" ca="1" si="18"/>
        <v>0</v>
      </c>
      <c r="BA22" s="33">
        <f t="shared" ca="1" si="18"/>
        <v>0</v>
      </c>
      <c r="BB22" s="33">
        <f t="shared" ca="1" si="29"/>
        <v>0</v>
      </c>
      <c r="BC22" s="33">
        <f t="shared" ca="1" si="29"/>
        <v>0</v>
      </c>
      <c r="BD22" s="33">
        <f t="shared" ca="1" si="29"/>
        <v>0</v>
      </c>
      <c r="BE22" s="33">
        <f t="shared" ca="1" si="29"/>
        <v>0</v>
      </c>
      <c r="BF22" s="33">
        <f t="shared" ca="1" si="29"/>
        <v>0</v>
      </c>
      <c r="BG22" s="33">
        <f t="shared" ca="1" si="29"/>
        <v>0</v>
      </c>
      <c r="BH22" s="33">
        <f t="shared" ca="1" si="29"/>
        <v>0</v>
      </c>
      <c r="BI22" s="33">
        <f t="shared" ca="1" si="29"/>
        <v>0</v>
      </c>
      <c r="BJ22" s="33">
        <f t="shared" ca="1" si="29"/>
        <v>0</v>
      </c>
      <c r="BK22" s="33">
        <f t="shared" ca="1" si="29"/>
        <v>0</v>
      </c>
      <c r="BL22" s="33">
        <f t="shared" ca="1" si="29"/>
        <v>0</v>
      </c>
      <c r="BM22" s="33">
        <f t="shared" ca="1" si="29"/>
        <v>0</v>
      </c>
      <c r="BN22" s="33">
        <f t="shared" ca="1" si="29"/>
        <v>0</v>
      </c>
      <c r="BO22" s="33">
        <f t="shared" ca="1" si="29"/>
        <v>0</v>
      </c>
      <c r="BP22" s="33" t="str">
        <f t="shared" ca="1" si="11"/>
        <v>VP26_50</v>
      </c>
      <c r="BQ22" s="77">
        <f t="shared" ca="1" si="12"/>
        <v>500</v>
      </c>
      <c r="BR22" s="77">
        <f t="shared" ca="1" si="13"/>
        <v>2560</v>
      </c>
      <c r="BS22" s="78">
        <f t="shared" ca="1" si="14"/>
        <v>470</v>
      </c>
      <c r="BT22" s="77">
        <f t="shared" ca="1" si="19"/>
        <v>0</v>
      </c>
      <c r="BU22" s="77">
        <f t="shared" ca="1" si="15"/>
        <v>470</v>
      </c>
      <c r="BV22" s="78">
        <f t="shared" ca="1" si="16"/>
        <v>17</v>
      </c>
    </row>
    <row r="23" spans="1:74" ht="15.75" customHeight="1" x14ac:dyDescent="0.25">
      <c r="A23" s="71" t="str">
        <f ca="1">IFERROR(__xludf.DUMMYFUNCTION("IFERROR(INDEX(FILTER(T4.2026!$A$2:$A$1000, T4.2026!$A$2:$A$1000&lt;&gt;""""), ROWS($A$9:A23)), """")"),"")</f>
        <v/>
      </c>
      <c r="B23" s="72" t="str">
        <f t="array" aca="1" ref="B23" ca="1">IF($A23="","",IFERROR(_xlfn.XLOOKUP($A23,'T4.2026'!$A$2:$A$1000,'T4.2026'!$B$2:$B$1000),""))</f>
        <v/>
      </c>
      <c r="C23" s="71" t="str">
        <f t="array" aca="1" ref="C23" ca="1">IF($A23="","",IFERROR(_xlfn.XLOOKUP($A23,'T4.2026'!$A$2:$A$1000,'T4.2026'!$C$2:$C$1000),""))</f>
        <v/>
      </c>
      <c r="D23" s="73" t="str">
        <f t="array" aca="1" ref="D23" ca="1">IF($A23="","",ROUND(IFERROR(_xlfn.XLOOKUP($A23,'T4.2026'!$A$2:$A$1000,'T4.2026'!$D$2:$D$1000),0),0))</f>
        <v/>
      </c>
      <c r="E23" s="73" t="str">
        <f t="array" aca="1" ref="E23" ca="1">IF($A23="","",IFERROR(_xlfn.XLOOKUP($A23,'T4.2026'!$A$2:$A$1000,'T4.2026'!$E$2:$E$1000),0))</f>
        <v/>
      </c>
      <c r="F23" s="75" t="str">
        <f t="shared" ca="1" si="6"/>
        <v/>
      </c>
      <c r="G23" s="75" t="str">
        <f t="shared" ref="G23:AI23" ca="1" si="34">IF($A23="","",IF(G$8=0,"",IF(SUM($AL23:$BO23)=0,0,ROUND($BU23*SUM($AL23:AM23)/SUM($AL23:$BO23),0)-ROUND($BU23*SUM($AL23:AL23)/SUM($AL23:$BO23),0))))</f>
        <v/>
      </c>
      <c r="H23" s="75" t="str">
        <f t="shared" ca="1" si="34"/>
        <v/>
      </c>
      <c r="I23" s="75" t="str">
        <f t="shared" ca="1" si="34"/>
        <v/>
      </c>
      <c r="J23" s="75" t="str">
        <f t="shared" ca="1" si="34"/>
        <v/>
      </c>
      <c r="K23" s="75" t="str">
        <f t="shared" ca="1" si="34"/>
        <v/>
      </c>
      <c r="L23" s="75" t="str">
        <f t="shared" ca="1" si="34"/>
        <v/>
      </c>
      <c r="M23" s="75" t="str">
        <f t="shared" ca="1" si="34"/>
        <v/>
      </c>
      <c r="N23" s="75" t="str">
        <f t="shared" ca="1" si="34"/>
        <v/>
      </c>
      <c r="O23" s="75" t="str">
        <f t="shared" ca="1" si="34"/>
        <v/>
      </c>
      <c r="P23" s="75" t="str">
        <f t="shared" ca="1" si="34"/>
        <v/>
      </c>
      <c r="Q23" s="75" t="str">
        <f t="shared" ca="1" si="34"/>
        <v/>
      </c>
      <c r="R23" s="75" t="str">
        <f t="shared" ca="1" si="34"/>
        <v/>
      </c>
      <c r="S23" s="75" t="str">
        <f t="shared" ca="1" si="34"/>
        <v/>
      </c>
      <c r="T23" s="75" t="str">
        <f t="shared" ca="1" si="34"/>
        <v/>
      </c>
      <c r="U23" s="75" t="str">
        <f t="shared" ca="1" si="34"/>
        <v/>
      </c>
      <c r="V23" s="75" t="str">
        <f t="shared" ca="1" si="34"/>
        <v/>
      </c>
      <c r="W23" s="75" t="str">
        <f t="shared" ca="1" si="34"/>
        <v/>
      </c>
      <c r="X23" s="75" t="str">
        <f t="shared" ca="1" si="34"/>
        <v/>
      </c>
      <c r="Y23" s="75" t="str">
        <f t="shared" ca="1" si="34"/>
        <v/>
      </c>
      <c r="Z23" s="75" t="str">
        <f t="shared" ca="1" si="34"/>
        <v/>
      </c>
      <c r="AA23" s="75" t="str">
        <f t="shared" ca="1" si="34"/>
        <v/>
      </c>
      <c r="AB23" s="75" t="str">
        <f t="shared" ca="1" si="34"/>
        <v/>
      </c>
      <c r="AC23" s="75" t="str">
        <f t="shared" ca="1" si="34"/>
        <v/>
      </c>
      <c r="AD23" s="75" t="str">
        <f t="shared" ca="1" si="34"/>
        <v/>
      </c>
      <c r="AE23" s="75" t="str">
        <f t="shared" ca="1" si="34"/>
        <v/>
      </c>
      <c r="AF23" s="75" t="str">
        <f t="shared" ca="1" si="34"/>
        <v/>
      </c>
      <c r="AG23" s="75" t="str">
        <f t="shared" ca="1" si="34"/>
        <v/>
      </c>
      <c r="AH23" s="75" t="str">
        <f t="shared" ca="1" si="34"/>
        <v/>
      </c>
      <c r="AI23" s="75" t="str">
        <f t="shared" ca="1" si="34"/>
        <v/>
      </c>
      <c r="AJ23" s="76" t="str">
        <f t="shared" ca="1" si="8"/>
        <v/>
      </c>
      <c r="AK23" s="76" t="str">
        <f t="shared" ca="1" si="9"/>
        <v/>
      </c>
      <c r="AL23" s="33" t="str">
        <f t="shared" ca="1" si="18"/>
        <v/>
      </c>
      <c r="AM23" s="33" t="str">
        <f t="shared" ca="1" si="18"/>
        <v/>
      </c>
      <c r="AN23" s="33" t="str">
        <f t="shared" ca="1" si="18"/>
        <v/>
      </c>
      <c r="AO23" s="33" t="str">
        <f t="shared" ca="1" si="18"/>
        <v/>
      </c>
      <c r="AP23" s="33" t="str">
        <f t="shared" ca="1" si="18"/>
        <v/>
      </c>
      <c r="AQ23" s="33" t="str">
        <f t="shared" ca="1" si="18"/>
        <v/>
      </c>
      <c r="AR23" s="33" t="str">
        <f t="shared" ca="1" si="18"/>
        <v/>
      </c>
      <c r="AS23" s="33" t="str">
        <f t="shared" ca="1" si="18"/>
        <v/>
      </c>
      <c r="AT23" s="33" t="str">
        <f t="shared" ca="1" si="18"/>
        <v/>
      </c>
      <c r="AU23" s="33" t="str">
        <f t="shared" ca="1" si="18"/>
        <v/>
      </c>
      <c r="AV23" s="33" t="str">
        <f t="shared" ca="1" si="18"/>
        <v/>
      </c>
      <c r="AW23" s="33" t="str">
        <f t="shared" ca="1" si="18"/>
        <v/>
      </c>
      <c r="AX23" s="33" t="str">
        <f t="shared" ca="1" si="18"/>
        <v/>
      </c>
      <c r="AY23" s="33" t="str">
        <f t="shared" ca="1" si="18"/>
        <v/>
      </c>
      <c r="AZ23" s="33" t="str">
        <f t="shared" ca="1" si="18"/>
        <v/>
      </c>
      <c r="BA23" s="33" t="str">
        <f t="shared" ca="1" si="18"/>
        <v/>
      </c>
      <c r="BB23" s="33" t="str">
        <f t="shared" ca="1" si="29"/>
        <v/>
      </c>
      <c r="BC23" s="33" t="str">
        <f t="shared" ca="1" si="29"/>
        <v/>
      </c>
      <c r="BD23" s="33" t="str">
        <f t="shared" ca="1" si="29"/>
        <v/>
      </c>
      <c r="BE23" s="33" t="str">
        <f t="shared" ca="1" si="29"/>
        <v/>
      </c>
      <c r="BF23" s="33" t="str">
        <f t="shared" ca="1" si="29"/>
        <v/>
      </c>
      <c r="BG23" s="33" t="str">
        <f t="shared" ca="1" si="29"/>
        <v/>
      </c>
      <c r="BH23" s="33" t="str">
        <f t="shared" ca="1" si="29"/>
        <v/>
      </c>
      <c r="BI23" s="33" t="str">
        <f t="shared" ca="1" si="29"/>
        <v/>
      </c>
      <c r="BJ23" s="33" t="str">
        <f t="shared" ca="1" si="29"/>
        <v/>
      </c>
      <c r="BK23" s="33" t="str">
        <f t="shared" ca="1" si="29"/>
        <v/>
      </c>
      <c r="BL23" s="33" t="str">
        <f t="shared" ca="1" si="29"/>
        <v/>
      </c>
      <c r="BM23" s="33" t="str">
        <f t="shared" ca="1" si="29"/>
        <v/>
      </c>
      <c r="BN23" s="33" t="str">
        <f t="shared" ca="1" si="29"/>
        <v/>
      </c>
      <c r="BO23" s="33" t="str">
        <f t="shared" ca="1" si="29"/>
        <v/>
      </c>
      <c r="BP23" s="33" t="str">
        <f t="shared" ca="1" si="11"/>
        <v/>
      </c>
      <c r="BQ23" s="78" t="str">
        <f t="shared" ca="1" si="12"/>
        <v/>
      </c>
      <c r="BR23" s="78" t="str">
        <f t="shared" ca="1" si="13"/>
        <v/>
      </c>
      <c r="BS23" s="78" t="str">
        <f t="shared" ca="1" si="14"/>
        <v/>
      </c>
      <c r="BT23" s="78" t="str">
        <f t="shared" ca="1" si="19"/>
        <v/>
      </c>
      <c r="BU23" s="78" t="str">
        <f t="shared" ca="1" si="15"/>
        <v/>
      </c>
      <c r="BV23" s="78" t="str">
        <f t="shared" ca="1" si="16"/>
        <v/>
      </c>
    </row>
    <row r="24" spans="1:74" ht="15.75" customHeight="1" x14ac:dyDescent="0.25">
      <c r="A24" s="71" t="str">
        <f ca="1">IFERROR(__xludf.DUMMYFUNCTION("IFERROR(INDEX(FILTER(T4.2026!$A$2:$A$1000, T4.2026!$A$2:$A$1000&lt;&gt;""""), ROWS($A$9:A24)), """")"),"")</f>
        <v/>
      </c>
      <c r="B24" s="72" t="str">
        <f t="array" aca="1" ref="B24" ca="1">IF($A24="","",IFERROR(_xlfn.XLOOKUP($A24,'T4.2026'!$A$2:$A$1000,'T4.2026'!$B$2:$B$1000),""))</f>
        <v/>
      </c>
      <c r="C24" s="71" t="str">
        <f t="array" aca="1" ref="C24" ca="1">IF($A24="","",IFERROR(_xlfn.XLOOKUP($A24,'T4.2026'!$A$2:$A$1000,'T4.2026'!$C$2:$C$1000),""))</f>
        <v/>
      </c>
      <c r="D24" s="73" t="str">
        <f t="array" aca="1" ref="D24" ca="1">IF($A24="","",ROUND(IFERROR(_xlfn.XLOOKUP($A24,'T4.2026'!$A$2:$A$1000,'T4.2026'!$D$2:$D$1000),0),0))</f>
        <v/>
      </c>
      <c r="E24" s="73" t="str">
        <f t="array" aca="1" ref="E24" ca="1">IF($A24="","",IFERROR(_xlfn.XLOOKUP($A24,'T4.2026'!$A$2:$A$1000,'T4.2026'!$E$2:$E$1000),0))</f>
        <v/>
      </c>
      <c r="F24" s="75" t="str">
        <f t="shared" ca="1" si="6"/>
        <v/>
      </c>
      <c r="G24" s="75" t="str">
        <f t="shared" ref="G24:AI24" ca="1" si="35">IF($A24="","",IF(G$8=0,"",IF(SUM($AL24:$BO24)=0,0,ROUND($BU24*SUM($AL24:AM24)/SUM($AL24:$BO24),0)-ROUND($BU24*SUM($AL24:AL24)/SUM($AL24:$BO24),0))))</f>
        <v/>
      </c>
      <c r="H24" s="75" t="str">
        <f t="shared" ca="1" si="35"/>
        <v/>
      </c>
      <c r="I24" s="75" t="str">
        <f t="shared" ca="1" si="35"/>
        <v/>
      </c>
      <c r="J24" s="75" t="str">
        <f t="shared" ca="1" si="35"/>
        <v/>
      </c>
      <c r="K24" s="75" t="str">
        <f t="shared" ca="1" si="35"/>
        <v/>
      </c>
      <c r="L24" s="75" t="str">
        <f t="shared" ca="1" si="35"/>
        <v/>
      </c>
      <c r="M24" s="75" t="str">
        <f t="shared" ca="1" si="35"/>
        <v/>
      </c>
      <c r="N24" s="75" t="str">
        <f t="shared" ca="1" si="35"/>
        <v/>
      </c>
      <c r="O24" s="75" t="str">
        <f t="shared" ca="1" si="35"/>
        <v/>
      </c>
      <c r="P24" s="75" t="str">
        <f t="shared" ca="1" si="35"/>
        <v/>
      </c>
      <c r="Q24" s="75" t="str">
        <f t="shared" ca="1" si="35"/>
        <v/>
      </c>
      <c r="R24" s="75" t="str">
        <f t="shared" ca="1" si="35"/>
        <v/>
      </c>
      <c r="S24" s="75" t="str">
        <f t="shared" ca="1" si="35"/>
        <v/>
      </c>
      <c r="T24" s="75" t="str">
        <f t="shared" ca="1" si="35"/>
        <v/>
      </c>
      <c r="U24" s="75" t="str">
        <f t="shared" ca="1" si="35"/>
        <v/>
      </c>
      <c r="V24" s="75" t="str">
        <f t="shared" ca="1" si="35"/>
        <v/>
      </c>
      <c r="W24" s="75" t="str">
        <f t="shared" ca="1" si="35"/>
        <v/>
      </c>
      <c r="X24" s="75" t="str">
        <f t="shared" ca="1" si="35"/>
        <v/>
      </c>
      <c r="Y24" s="75" t="str">
        <f t="shared" ca="1" si="35"/>
        <v/>
      </c>
      <c r="Z24" s="75" t="str">
        <f t="shared" ca="1" si="35"/>
        <v/>
      </c>
      <c r="AA24" s="75" t="str">
        <f t="shared" ca="1" si="35"/>
        <v/>
      </c>
      <c r="AB24" s="75" t="str">
        <f t="shared" ca="1" si="35"/>
        <v/>
      </c>
      <c r="AC24" s="75" t="str">
        <f t="shared" ca="1" si="35"/>
        <v/>
      </c>
      <c r="AD24" s="75" t="str">
        <f t="shared" ca="1" si="35"/>
        <v/>
      </c>
      <c r="AE24" s="75" t="str">
        <f t="shared" ca="1" si="35"/>
        <v/>
      </c>
      <c r="AF24" s="75" t="str">
        <f t="shared" ca="1" si="35"/>
        <v/>
      </c>
      <c r="AG24" s="75" t="str">
        <f t="shared" ca="1" si="35"/>
        <v/>
      </c>
      <c r="AH24" s="75" t="str">
        <f t="shared" ca="1" si="35"/>
        <v/>
      </c>
      <c r="AI24" s="75" t="str">
        <f t="shared" ca="1" si="35"/>
        <v/>
      </c>
      <c r="AJ24" s="76" t="str">
        <f t="shared" ca="1" si="8"/>
        <v/>
      </c>
      <c r="AK24" s="76" t="str">
        <f t="shared" ca="1" si="9"/>
        <v/>
      </c>
      <c r="AL24" s="33" t="str">
        <f t="shared" ca="1" si="18"/>
        <v/>
      </c>
      <c r="AM24" s="33" t="str">
        <f t="shared" ca="1" si="18"/>
        <v/>
      </c>
      <c r="AN24" s="33" t="str">
        <f t="shared" ca="1" si="18"/>
        <v/>
      </c>
      <c r="AO24" s="33" t="str">
        <f t="shared" ca="1" si="18"/>
        <v/>
      </c>
      <c r="AP24" s="33" t="str">
        <f t="shared" ca="1" si="18"/>
        <v/>
      </c>
      <c r="AQ24" s="33" t="str">
        <f t="shared" ca="1" si="18"/>
        <v/>
      </c>
      <c r="AR24" s="33" t="str">
        <f t="shared" ca="1" si="18"/>
        <v/>
      </c>
      <c r="AS24" s="33" t="str">
        <f t="shared" ca="1" si="18"/>
        <v/>
      </c>
      <c r="AT24" s="33" t="str">
        <f t="shared" ca="1" si="18"/>
        <v/>
      </c>
      <c r="AU24" s="33" t="str">
        <f t="shared" ca="1" si="18"/>
        <v/>
      </c>
      <c r="AV24" s="33" t="str">
        <f t="shared" ca="1" si="18"/>
        <v/>
      </c>
      <c r="AW24" s="33" t="str">
        <f t="shared" ca="1" si="18"/>
        <v/>
      </c>
      <c r="AX24" s="33" t="str">
        <f t="shared" ca="1" si="18"/>
        <v/>
      </c>
      <c r="AY24" s="33" t="str">
        <f t="shared" ca="1" si="18"/>
        <v/>
      </c>
      <c r="AZ24" s="33" t="str">
        <f t="shared" ca="1" si="18"/>
        <v/>
      </c>
      <c r="BA24" s="33" t="str">
        <f t="shared" ca="1" si="18"/>
        <v/>
      </c>
      <c r="BB24" s="33" t="str">
        <f t="shared" ca="1" si="29"/>
        <v/>
      </c>
      <c r="BC24" s="33" t="str">
        <f t="shared" ca="1" si="29"/>
        <v/>
      </c>
      <c r="BD24" s="33" t="str">
        <f t="shared" ca="1" si="29"/>
        <v/>
      </c>
      <c r="BE24" s="33" t="str">
        <f t="shared" ca="1" si="29"/>
        <v/>
      </c>
      <c r="BF24" s="33" t="str">
        <f t="shared" ca="1" si="29"/>
        <v/>
      </c>
      <c r="BG24" s="33" t="str">
        <f t="shared" ca="1" si="29"/>
        <v/>
      </c>
      <c r="BH24" s="33" t="str">
        <f t="shared" ca="1" si="29"/>
        <v/>
      </c>
      <c r="BI24" s="33" t="str">
        <f t="shared" ca="1" si="29"/>
        <v/>
      </c>
      <c r="BJ24" s="33" t="str">
        <f t="shared" ca="1" si="29"/>
        <v/>
      </c>
      <c r="BK24" s="33" t="str">
        <f t="shared" ca="1" si="29"/>
        <v/>
      </c>
      <c r="BL24" s="33" t="str">
        <f t="shared" ca="1" si="29"/>
        <v/>
      </c>
      <c r="BM24" s="33" t="str">
        <f t="shared" ca="1" si="29"/>
        <v/>
      </c>
      <c r="BN24" s="33" t="str">
        <f t="shared" ca="1" si="29"/>
        <v/>
      </c>
      <c r="BO24" s="33" t="str">
        <f t="shared" ca="1" si="29"/>
        <v/>
      </c>
      <c r="BP24" s="33" t="str">
        <f t="shared" ca="1" si="11"/>
        <v/>
      </c>
      <c r="BQ24" s="78" t="str">
        <f t="shared" ca="1" si="12"/>
        <v/>
      </c>
      <c r="BR24" s="78" t="str">
        <f t="shared" ca="1" si="13"/>
        <v/>
      </c>
      <c r="BS24" s="78" t="str">
        <f t="shared" ca="1" si="14"/>
        <v/>
      </c>
      <c r="BT24" s="78" t="str">
        <f t="shared" ca="1" si="19"/>
        <v/>
      </c>
      <c r="BU24" s="78" t="str">
        <f t="shared" ca="1" si="15"/>
        <v/>
      </c>
      <c r="BV24" s="78" t="str">
        <f t="shared" ca="1" si="16"/>
        <v/>
      </c>
    </row>
    <row r="25" spans="1:74" ht="15.75" customHeight="1" x14ac:dyDescent="0.25">
      <c r="A25" s="71" t="str">
        <f ca="1">IFERROR(__xludf.DUMMYFUNCTION("IFERROR(INDEX(FILTER(T4.2026!$A$2:$A$1000, T4.2026!$A$2:$A$1000&lt;&gt;""""), ROWS($A$9:A25)), """")"),"")</f>
        <v/>
      </c>
      <c r="B25" s="72" t="str">
        <f t="array" aca="1" ref="B25" ca="1">IF($A25="","",IFERROR(_xlfn.XLOOKUP($A25,'T4.2026'!$A$2:$A$1000,'T4.2026'!$B$2:$B$1000),""))</f>
        <v/>
      </c>
      <c r="C25" s="71" t="str">
        <f t="array" aca="1" ref="C25" ca="1">IF($A25="","",IFERROR(_xlfn.XLOOKUP($A25,'T4.2026'!$A$2:$A$1000,'T4.2026'!$C$2:$C$1000),""))</f>
        <v/>
      </c>
      <c r="D25" s="73" t="str">
        <f t="array" aca="1" ref="D25" ca="1">IF($A25="","",ROUND(IFERROR(_xlfn.XLOOKUP($A25,'T4.2026'!$A$2:$A$1000,'T4.2026'!$D$2:$D$1000),0),0))</f>
        <v/>
      </c>
      <c r="E25" s="73" t="str">
        <f t="array" aca="1" ref="E25" ca="1">IF($A25="","",IFERROR(_xlfn.XLOOKUP($A25,'T4.2026'!$A$2:$A$1000,'T4.2026'!$E$2:$E$1000),0))</f>
        <v/>
      </c>
      <c r="F25" s="75" t="str">
        <f t="shared" ca="1" si="6"/>
        <v/>
      </c>
      <c r="G25" s="75" t="str">
        <f t="shared" ref="G25:AI25" ca="1" si="36">IF($A25="","",IF(G$8=0,"",IF(SUM($AL25:$BO25)=0,0,ROUND($BU25*SUM($AL25:AM25)/SUM($AL25:$BO25),0)-ROUND($BU25*SUM($AL25:AL25)/SUM($AL25:$BO25),0))))</f>
        <v/>
      </c>
      <c r="H25" s="75" t="str">
        <f t="shared" ca="1" si="36"/>
        <v/>
      </c>
      <c r="I25" s="75" t="str">
        <f t="shared" ca="1" si="36"/>
        <v/>
      </c>
      <c r="J25" s="75" t="str">
        <f t="shared" ca="1" si="36"/>
        <v/>
      </c>
      <c r="K25" s="75" t="str">
        <f t="shared" ca="1" si="36"/>
        <v/>
      </c>
      <c r="L25" s="75" t="str">
        <f t="shared" ca="1" si="36"/>
        <v/>
      </c>
      <c r="M25" s="75" t="str">
        <f t="shared" ca="1" si="36"/>
        <v/>
      </c>
      <c r="N25" s="75" t="str">
        <f t="shared" ca="1" si="36"/>
        <v/>
      </c>
      <c r="O25" s="75" t="str">
        <f t="shared" ca="1" si="36"/>
        <v/>
      </c>
      <c r="P25" s="75" t="str">
        <f t="shared" ca="1" si="36"/>
        <v/>
      </c>
      <c r="Q25" s="75" t="str">
        <f t="shared" ca="1" si="36"/>
        <v/>
      </c>
      <c r="R25" s="75" t="str">
        <f t="shared" ca="1" si="36"/>
        <v/>
      </c>
      <c r="S25" s="75" t="str">
        <f t="shared" ca="1" si="36"/>
        <v/>
      </c>
      <c r="T25" s="75" t="str">
        <f t="shared" ca="1" si="36"/>
        <v/>
      </c>
      <c r="U25" s="75" t="str">
        <f t="shared" ca="1" si="36"/>
        <v/>
      </c>
      <c r="V25" s="75" t="str">
        <f t="shared" ca="1" si="36"/>
        <v/>
      </c>
      <c r="W25" s="75" t="str">
        <f t="shared" ca="1" si="36"/>
        <v/>
      </c>
      <c r="X25" s="75" t="str">
        <f t="shared" ca="1" si="36"/>
        <v/>
      </c>
      <c r="Y25" s="75" t="str">
        <f t="shared" ca="1" si="36"/>
        <v/>
      </c>
      <c r="Z25" s="75" t="str">
        <f t="shared" ca="1" si="36"/>
        <v/>
      </c>
      <c r="AA25" s="75" t="str">
        <f t="shared" ca="1" si="36"/>
        <v/>
      </c>
      <c r="AB25" s="75" t="str">
        <f t="shared" ca="1" si="36"/>
        <v/>
      </c>
      <c r="AC25" s="75" t="str">
        <f t="shared" ca="1" si="36"/>
        <v/>
      </c>
      <c r="AD25" s="75" t="str">
        <f t="shared" ca="1" si="36"/>
        <v/>
      </c>
      <c r="AE25" s="75" t="str">
        <f t="shared" ca="1" si="36"/>
        <v/>
      </c>
      <c r="AF25" s="75" t="str">
        <f t="shared" ca="1" si="36"/>
        <v/>
      </c>
      <c r="AG25" s="75" t="str">
        <f t="shared" ca="1" si="36"/>
        <v/>
      </c>
      <c r="AH25" s="75" t="str">
        <f t="shared" ca="1" si="36"/>
        <v/>
      </c>
      <c r="AI25" s="75" t="str">
        <f t="shared" ca="1" si="36"/>
        <v/>
      </c>
      <c r="AJ25" s="76" t="str">
        <f t="shared" ca="1" si="8"/>
        <v/>
      </c>
      <c r="AK25" s="76" t="str">
        <f t="shared" ca="1" si="9"/>
        <v/>
      </c>
      <c r="AL25" s="33" t="str">
        <f t="shared" ca="1" si="18"/>
        <v/>
      </c>
      <c r="AM25" s="33" t="str">
        <f t="shared" ca="1" si="18"/>
        <v/>
      </c>
      <c r="AN25" s="33" t="str">
        <f t="shared" ca="1" si="18"/>
        <v/>
      </c>
      <c r="AO25" s="33" t="str">
        <f t="shared" ca="1" si="18"/>
        <v/>
      </c>
      <c r="AP25" s="33" t="str">
        <f t="shared" ca="1" si="18"/>
        <v/>
      </c>
      <c r="AQ25" s="33" t="str">
        <f t="shared" ca="1" si="18"/>
        <v/>
      </c>
      <c r="AR25" s="33" t="str">
        <f t="shared" ca="1" si="18"/>
        <v/>
      </c>
      <c r="AS25" s="33" t="str">
        <f t="shared" ca="1" si="18"/>
        <v/>
      </c>
      <c r="AT25" s="33" t="str">
        <f t="shared" ca="1" si="18"/>
        <v/>
      </c>
      <c r="AU25" s="33" t="str">
        <f t="shared" ca="1" si="18"/>
        <v/>
      </c>
      <c r="AV25" s="33" t="str">
        <f t="shared" ca="1" si="18"/>
        <v/>
      </c>
      <c r="AW25" s="33" t="str">
        <f t="shared" ca="1" si="18"/>
        <v/>
      </c>
      <c r="AX25" s="33" t="str">
        <f t="shared" ca="1" si="18"/>
        <v/>
      </c>
      <c r="AY25" s="33" t="str">
        <f t="shared" ca="1" si="18"/>
        <v/>
      </c>
      <c r="AZ25" s="33" t="str">
        <f t="shared" ca="1" si="18"/>
        <v/>
      </c>
      <c r="BA25" s="33" t="str">
        <f t="shared" ca="1" si="18"/>
        <v/>
      </c>
      <c r="BB25" s="33" t="str">
        <f t="shared" ca="1" si="29"/>
        <v/>
      </c>
      <c r="BC25" s="33" t="str">
        <f t="shared" ca="1" si="29"/>
        <v/>
      </c>
      <c r="BD25" s="33" t="str">
        <f t="shared" ca="1" si="29"/>
        <v/>
      </c>
      <c r="BE25" s="33" t="str">
        <f t="shared" ca="1" si="29"/>
        <v/>
      </c>
      <c r="BF25" s="33" t="str">
        <f t="shared" ca="1" si="29"/>
        <v/>
      </c>
      <c r="BG25" s="33" t="str">
        <f t="shared" ca="1" si="29"/>
        <v/>
      </c>
      <c r="BH25" s="33" t="str">
        <f t="shared" ca="1" si="29"/>
        <v/>
      </c>
      <c r="BI25" s="33" t="str">
        <f t="shared" ca="1" si="29"/>
        <v/>
      </c>
      <c r="BJ25" s="33" t="str">
        <f t="shared" ca="1" si="29"/>
        <v/>
      </c>
      <c r="BK25" s="33" t="str">
        <f t="shared" ca="1" si="29"/>
        <v/>
      </c>
      <c r="BL25" s="33" t="str">
        <f t="shared" ca="1" si="29"/>
        <v/>
      </c>
      <c r="BM25" s="33" t="str">
        <f t="shared" ca="1" si="29"/>
        <v/>
      </c>
      <c r="BN25" s="33" t="str">
        <f t="shared" ca="1" si="29"/>
        <v/>
      </c>
      <c r="BO25" s="33" t="str">
        <f t="shared" ca="1" si="29"/>
        <v/>
      </c>
      <c r="BP25" s="33" t="str">
        <f t="shared" ca="1" si="11"/>
        <v/>
      </c>
      <c r="BQ25" s="78" t="str">
        <f t="shared" ca="1" si="12"/>
        <v/>
      </c>
      <c r="BR25" s="78" t="str">
        <f t="shared" ca="1" si="13"/>
        <v/>
      </c>
      <c r="BS25" s="78" t="str">
        <f t="shared" ca="1" si="14"/>
        <v/>
      </c>
      <c r="BT25" s="78" t="str">
        <f t="shared" ca="1" si="19"/>
        <v/>
      </c>
      <c r="BU25" s="78" t="str">
        <f t="shared" ca="1" si="15"/>
        <v/>
      </c>
      <c r="BV25" s="78" t="str">
        <f t="shared" ca="1" si="16"/>
        <v/>
      </c>
    </row>
    <row r="26" spans="1:74" ht="15.75" customHeight="1" x14ac:dyDescent="0.25">
      <c r="A26" s="71" t="str">
        <f ca="1">IFERROR(__xludf.DUMMYFUNCTION("IFERROR(INDEX(FILTER(T4.2026!$A$2:$A$1000, T4.2026!$A$2:$A$1000&lt;&gt;""""), ROWS($A$9:A26)), """")"),"")</f>
        <v/>
      </c>
      <c r="B26" s="72" t="str">
        <f t="array" aca="1" ref="B26" ca="1">IF($A26="","",IFERROR(_xlfn.XLOOKUP($A26,'T4.2026'!$A$2:$A$1000,'T4.2026'!$B$2:$B$1000),""))</f>
        <v/>
      </c>
      <c r="C26" s="71" t="str">
        <f t="array" aca="1" ref="C26" ca="1">IF($A26="","",IFERROR(_xlfn.XLOOKUP($A26,'T4.2026'!$A$2:$A$1000,'T4.2026'!$C$2:$C$1000),""))</f>
        <v/>
      </c>
      <c r="D26" s="73" t="str">
        <f t="array" aca="1" ref="D26" ca="1">IF($A26="","",ROUND(IFERROR(_xlfn.XLOOKUP($A26,'T4.2026'!$A$2:$A$1000,'T4.2026'!$D$2:$D$1000),0),0))</f>
        <v/>
      </c>
      <c r="E26" s="73" t="str">
        <f t="array" aca="1" ref="E26" ca="1">IF($A26="","",IFERROR(_xlfn.XLOOKUP($A26,'T4.2026'!$A$2:$A$1000,'T4.2026'!$E$2:$E$1000),0))</f>
        <v/>
      </c>
      <c r="F26" s="75" t="str">
        <f t="shared" ca="1" si="6"/>
        <v/>
      </c>
      <c r="G26" s="75" t="str">
        <f t="shared" ref="G26:AI26" ca="1" si="37">IF($A26="","",IF(G$8=0,"",IF(SUM($AL26:$BO26)=0,0,ROUND($BU26*SUM($AL26:AM26)/SUM($AL26:$BO26),0)-ROUND($BU26*SUM($AL26:AL26)/SUM($AL26:$BO26),0))))</f>
        <v/>
      </c>
      <c r="H26" s="75" t="str">
        <f t="shared" ca="1" si="37"/>
        <v/>
      </c>
      <c r="I26" s="75" t="str">
        <f t="shared" ca="1" si="37"/>
        <v/>
      </c>
      <c r="J26" s="75" t="str">
        <f t="shared" ca="1" si="37"/>
        <v/>
      </c>
      <c r="K26" s="75" t="str">
        <f t="shared" ca="1" si="37"/>
        <v/>
      </c>
      <c r="L26" s="75" t="str">
        <f t="shared" ca="1" si="37"/>
        <v/>
      </c>
      <c r="M26" s="75" t="str">
        <f t="shared" ca="1" si="37"/>
        <v/>
      </c>
      <c r="N26" s="75" t="str">
        <f t="shared" ca="1" si="37"/>
        <v/>
      </c>
      <c r="O26" s="75" t="str">
        <f t="shared" ca="1" si="37"/>
        <v/>
      </c>
      <c r="P26" s="75" t="str">
        <f t="shared" ca="1" si="37"/>
        <v/>
      </c>
      <c r="Q26" s="75" t="str">
        <f t="shared" ca="1" si="37"/>
        <v/>
      </c>
      <c r="R26" s="75" t="str">
        <f t="shared" ca="1" si="37"/>
        <v/>
      </c>
      <c r="S26" s="75" t="str">
        <f t="shared" ca="1" si="37"/>
        <v/>
      </c>
      <c r="T26" s="75" t="str">
        <f t="shared" ca="1" si="37"/>
        <v/>
      </c>
      <c r="U26" s="75" t="str">
        <f t="shared" ca="1" si="37"/>
        <v/>
      </c>
      <c r="V26" s="75" t="str">
        <f t="shared" ca="1" si="37"/>
        <v/>
      </c>
      <c r="W26" s="75" t="str">
        <f t="shared" ca="1" si="37"/>
        <v/>
      </c>
      <c r="X26" s="75" t="str">
        <f t="shared" ca="1" si="37"/>
        <v/>
      </c>
      <c r="Y26" s="75" t="str">
        <f t="shared" ca="1" si="37"/>
        <v/>
      </c>
      <c r="Z26" s="75" t="str">
        <f t="shared" ca="1" si="37"/>
        <v/>
      </c>
      <c r="AA26" s="75" t="str">
        <f t="shared" ca="1" si="37"/>
        <v/>
      </c>
      <c r="AB26" s="75" t="str">
        <f t="shared" ca="1" si="37"/>
        <v/>
      </c>
      <c r="AC26" s="75" t="str">
        <f t="shared" ca="1" si="37"/>
        <v/>
      </c>
      <c r="AD26" s="75" t="str">
        <f t="shared" ca="1" si="37"/>
        <v/>
      </c>
      <c r="AE26" s="75" t="str">
        <f t="shared" ca="1" si="37"/>
        <v/>
      </c>
      <c r="AF26" s="75" t="str">
        <f t="shared" ca="1" si="37"/>
        <v/>
      </c>
      <c r="AG26" s="75" t="str">
        <f t="shared" ca="1" si="37"/>
        <v/>
      </c>
      <c r="AH26" s="75" t="str">
        <f t="shared" ca="1" si="37"/>
        <v/>
      </c>
      <c r="AI26" s="75" t="str">
        <f t="shared" ca="1" si="37"/>
        <v/>
      </c>
      <c r="AJ26" s="76" t="str">
        <f t="shared" ca="1" si="8"/>
        <v/>
      </c>
      <c r="AK26" s="76" t="str">
        <f t="shared" ca="1" si="9"/>
        <v/>
      </c>
      <c r="AL26" s="33" t="str">
        <f t="shared" ca="1" si="18"/>
        <v/>
      </c>
      <c r="AM26" s="33" t="str">
        <f t="shared" ca="1" si="18"/>
        <v/>
      </c>
      <c r="AN26" s="33" t="str">
        <f t="shared" ca="1" si="18"/>
        <v/>
      </c>
      <c r="AO26" s="33" t="str">
        <f t="shared" ca="1" si="18"/>
        <v/>
      </c>
      <c r="AP26" s="33" t="str">
        <f t="shared" ca="1" si="18"/>
        <v/>
      </c>
      <c r="AQ26" s="33" t="str">
        <f t="shared" ca="1" si="18"/>
        <v/>
      </c>
      <c r="AR26" s="33" t="str">
        <f t="shared" ca="1" si="18"/>
        <v/>
      </c>
      <c r="AS26" s="33" t="str">
        <f t="shared" ca="1" si="18"/>
        <v/>
      </c>
      <c r="AT26" s="33" t="str">
        <f t="shared" ca="1" si="18"/>
        <v/>
      </c>
      <c r="AU26" s="33" t="str">
        <f t="shared" ca="1" si="18"/>
        <v/>
      </c>
      <c r="AV26" s="33" t="str">
        <f t="shared" ca="1" si="18"/>
        <v/>
      </c>
      <c r="AW26" s="33" t="str">
        <f t="shared" ca="1" si="18"/>
        <v/>
      </c>
      <c r="AX26" s="33" t="str">
        <f t="shared" ca="1" si="18"/>
        <v/>
      </c>
      <c r="AY26" s="33" t="str">
        <f t="shared" ca="1" si="18"/>
        <v/>
      </c>
      <c r="AZ26" s="33" t="str">
        <f t="shared" ca="1" si="18"/>
        <v/>
      </c>
      <c r="BA26" s="33" t="str">
        <f t="shared" ca="1" si="18"/>
        <v/>
      </c>
      <c r="BB26" s="33" t="str">
        <f t="shared" ca="1" si="29"/>
        <v/>
      </c>
      <c r="BC26" s="33" t="str">
        <f t="shared" ca="1" si="29"/>
        <v/>
      </c>
      <c r="BD26" s="33" t="str">
        <f t="shared" ca="1" si="29"/>
        <v/>
      </c>
      <c r="BE26" s="33" t="str">
        <f t="shared" ca="1" si="29"/>
        <v/>
      </c>
      <c r="BF26" s="33" t="str">
        <f t="shared" ca="1" si="29"/>
        <v/>
      </c>
      <c r="BG26" s="33" t="str">
        <f t="shared" ca="1" si="29"/>
        <v/>
      </c>
      <c r="BH26" s="33" t="str">
        <f t="shared" ca="1" si="29"/>
        <v/>
      </c>
      <c r="BI26" s="33" t="str">
        <f t="shared" ca="1" si="29"/>
        <v/>
      </c>
      <c r="BJ26" s="33" t="str">
        <f t="shared" ca="1" si="29"/>
        <v/>
      </c>
      <c r="BK26" s="33" t="str">
        <f t="shared" ca="1" si="29"/>
        <v/>
      </c>
      <c r="BL26" s="33" t="str">
        <f t="shared" ca="1" si="29"/>
        <v/>
      </c>
      <c r="BM26" s="33" t="str">
        <f t="shared" ca="1" si="29"/>
        <v/>
      </c>
      <c r="BN26" s="33" t="str">
        <f t="shared" ca="1" si="29"/>
        <v/>
      </c>
      <c r="BO26" s="33" t="str">
        <f t="shared" ca="1" si="29"/>
        <v/>
      </c>
      <c r="BP26" s="33" t="str">
        <f t="shared" ca="1" si="11"/>
        <v/>
      </c>
      <c r="BQ26" s="78" t="str">
        <f t="shared" ca="1" si="12"/>
        <v/>
      </c>
      <c r="BR26" s="78" t="str">
        <f t="shared" ca="1" si="13"/>
        <v/>
      </c>
      <c r="BS26" s="78" t="str">
        <f t="shared" ca="1" si="14"/>
        <v/>
      </c>
      <c r="BT26" s="78" t="str">
        <f t="shared" ca="1" si="19"/>
        <v/>
      </c>
      <c r="BU26" s="78" t="str">
        <f t="shared" ca="1" si="15"/>
        <v/>
      </c>
      <c r="BV26" s="78" t="str">
        <f t="shared" ca="1" si="16"/>
        <v/>
      </c>
    </row>
    <row r="27" spans="1:74" ht="15.75" customHeight="1" x14ac:dyDescent="0.25">
      <c r="A27" s="71" t="str">
        <f ca="1">IFERROR(__xludf.DUMMYFUNCTION("IFERROR(INDEX(FILTER(T4.2026!$A$2:$A$1000, T4.2026!$A$2:$A$1000&lt;&gt;""""), ROWS($A$9:A27)), """")"),"")</f>
        <v/>
      </c>
      <c r="B27" s="72" t="str">
        <f t="array" aca="1" ref="B27" ca="1">IF($A27="","",IFERROR(_xlfn.XLOOKUP($A27,'T4.2026'!$A$2:$A$1000,'T4.2026'!$B$2:$B$1000),""))</f>
        <v/>
      </c>
      <c r="C27" s="71" t="str">
        <f t="array" aca="1" ref="C27" ca="1">IF($A27="","",IFERROR(_xlfn.XLOOKUP($A27,'T4.2026'!$A$2:$A$1000,'T4.2026'!$C$2:$C$1000),""))</f>
        <v/>
      </c>
      <c r="D27" s="73" t="str">
        <f t="array" aca="1" ref="D27" ca="1">IF($A27="","",ROUND(IFERROR(_xlfn.XLOOKUP($A27,'T4.2026'!$A$2:$A$1000,'T4.2026'!$D$2:$D$1000),0),0))</f>
        <v/>
      </c>
      <c r="E27" s="73" t="str">
        <f t="array" aca="1" ref="E27" ca="1">IF($A27="","",IFERROR(_xlfn.XLOOKUP($A27,'T4.2026'!$A$2:$A$1000,'T4.2026'!$E$2:$E$1000),0))</f>
        <v/>
      </c>
      <c r="F27" s="75" t="str">
        <f t="shared" ca="1" si="6"/>
        <v/>
      </c>
      <c r="G27" s="75" t="str">
        <f t="shared" ref="G27:AI27" ca="1" si="38">IF($A27="","",IF(G$8=0,"",IF(SUM($AL27:$BO27)=0,0,ROUND($BU27*SUM($AL27:AM27)/SUM($AL27:$BO27),0)-ROUND($BU27*SUM($AL27:AL27)/SUM($AL27:$BO27),0))))</f>
        <v/>
      </c>
      <c r="H27" s="75" t="str">
        <f t="shared" ca="1" si="38"/>
        <v/>
      </c>
      <c r="I27" s="75" t="str">
        <f t="shared" ca="1" si="38"/>
        <v/>
      </c>
      <c r="J27" s="75" t="str">
        <f t="shared" ca="1" si="38"/>
        <v/>
      </c>
      <c r="K27" s="75" t="str">
        <f t="shared" ca="1" si="38"/>
        <v/>
      </c>
      <c r="L27" s="75" t="str">
        <f t="shared" ca="1" si="38"/>
        <v/>
      </c>
      <c r="M27" s="75" t="str">
        <f t="shared" ca="1" si="38"/>
        <v/>
      </c>
      <c r="N27" s="75" t="str">
        <f t="shared" ca="1" si="38"/>
        <v/>
      </c>
      <c r="O27" s="75" t="str">
        <f t="shared" ca="1" si="38"/>
        <v/>
      </c>
      <c r="P27" s="75" t="str">
        <f t="shared" ca="1" si="38"/>
        <v/>
      </c>
      <c r="Q27" s="75" t="str">
        <f t="shared" ca="1" si="38"/>
        <v/>
      </c>
      <c r="R27" s="75" t="str">
        <f t="shared" ca="1" si="38"/>
        <v/>
      </c>
      <c r="S27" s="75" t="str">
        <f t="shared" ca="1" si="38"/>
        <v/>
      </c>
      <c r="T27" s="75" t="str">
        <f t="shared" ca="1" si="38"/>
        <v/>
      </c>
      <c r="U27" s="75" t="str">
        <f t="shared" ca="1" si="38"/>
        <v/>
      </c>
      <c r="V27" s="75" t="str">
        <f t="shared" ca="1" si="38"/>
        <v/>
      </c>
      <c r="W27" s="75" t="str">
        <f t="shared" ca="1" si="38"/>
        <v/>
      </c>
      <c r="X27" s="75" t="str">
        <f t="shared" ca="1" si="38"/>
        <v/>
      </c>
      <c r="Y27" s="75" t="str">
        <f t="shared" ca="1" si="38"/>
        <v/>
      </c>
      <c r="Z27" s="75" t="str">
        <f t="shared" ca="1" si="38"/>
        <v/>
      </c>
      <c r="AA27" s="75" t="str">
        <f t="shared" ca="1" si="38"/>
        <v/>
      </c>
      <c r="AB27" s="75" t="str">
        <f t="shared" ca="1" si="38"/>
        <v/>
      </c>
      <c r="AC27" s="75" t="str">
        <f t="shared" ca="1" si="38"/>
        <v/>
      </c>
      <c r="AD27" s="75" t="str">
        <f t="shared" ca="1" si="38"/>
        <v/>
      </c>
      <c r="AE27" s="75" t="str">
        <f t="shared" ca="1" si="38"/>
        <v/>
      </c>
      <c r="AF27" s="75" t="str">
        <f t="shared" ca="1" si="38"/>
        <v/>
      </c>
      <c r="AG27" s="75" t="str">
        <f t="shared" ca="1" si="38"/>
        <v/>
      </c>
      <c r="AH27" s="75" t="str">
        <f t="shared" ca="1" si="38"/>
        <v/>
      </c>
      <c r="AI27" s="75" t="str">
        <f t="shared" ca="1" si="38"/>
        <v/>
      </c>
      <c r="AJ27" s="76" t="str">
        <f t="shared" ca="1" si="8"/>
        <v/>
      </c>
      <c r="AK27" s="76" t="str">
        <f t="shared" ca="1" si="9"/>
        <v/>
      </c>
      <c r="AL27" s="33" t="str">
        <f t="shared" ca="1" si="18"/>
        <v/>
      </c>
      <c r="AM27" s="33" t="str">
        <f t="shared" ca="1" si="18"/>
        <v/>
      </c>
      <c r="AN27" s="33" t="str">
        <f t="shared" ca="1" si="18"/>
        <v/>
      </c>
      <c r="AO27" s="33" t="str">
        <f t="shared" ca="1" si="18"/>
        <v/>
      </c>
      <c r="AP27" s="33" t="str">
        <f t="shared" ca="1" si="18"/>
        <v/>
      </c>
      <c r="AQ27" s="33" t="str">
        <f t="shared" ca="1" si="18"/>
        <v/>
      </c>
      <c r="AR27" s="33" t="str">
        <f t="shared" ca="1" si="18"/>
        <v/>
      </c>
      <c r="AS27" s="33" t="str">
        <f t="shared" ca="1" si="18"/>
        <v/>
      </c>
      <c r="AT27" s="33" t="str">
        <f t="shared" ca="1" si="18"/>
        <v/>
      </c>
      <c r="AU27" s="33" t="str">
        <f t="shared" ca="1" si="18"/>
        <v/>
      </c>
      <c r="AV27" s="33" t="str">
        <f t="shared" ca="1" si="18"/>
        <v/>
      </c>
      <c r="AW27" s="33" t="str">
        <f t="shared" ca="1" si="18"/>
        <v/>
      </c>
      <c r="AX27" s="33" t="str">
        <f t="shared" ca="1" si="18"/>
        <v/>
      </c>
      <c r="AY27" s="33" t="str">
        <f t="shared" ca="1" si="18"/>
        <v/>
      </c>
      <c r="AZ27" s="33" t="str">
        <f t="shared" ca="1" si="18"/>
        <v/>
      </c>
      <c r="BA27" s="33" t="str">
        <f t="shared" ca="1" si="18"/>
        <v/>
      </c>
      <c r="BB27" s="33" t="str">
        <f t="shared" ca="1" si="29"/>
        <v/>
      </c>
      <c r="BC27" s="33" t="str">
        <f t="shared" ca="1" si="29"/>
        <v/>
      </c>
      <c r="BD27" s="33" t="str">
        <f t="shared" ca="1" si="29"/>
        <v/>
      </c>
      <c r="BE27" s="33" t="str">
        <f t="shared" ca="1" si="29"/>
        <v/>
      </c>
      <c r="BF27" s="33" t="str">
        <f t="shared" ca="1" si="29"/>
        <v/>
      </c>
      <c r="BG27" s="33" t="str">
        <f t="shared" ca="1" si="29"/>
        <v/>
      </c>
      <c r="BH27" s="33" t="str">
        <f t="shared" ca="1" si="29"/>
        <v/>
      </c>
      <c r="BI27" s="33" t="str">
        <f t="shared" ca="1" si="29"/>
        <v/>
      </c>
      <c r="BJ27" s="33" t="str">
        <f t="shared" ca="1" si="29"/>
        <v/>
      </c>
      <c r="BK27" s="33" t="str">
        <f t="shared" ca="1" si="29"/>
        <v/>
      </c>
      <c r="BL27" s="33" t="str">
        <f t="shared" ca="1" si="29"/>
        <v/>
      </c>
      <c r="BM27" s="33" t="str">
        <f t="shared" ca="1" si="29"/>
        <v/>
      </c>
      <c r="BN27" s="33" t="str">
        <f t="shared" ca="1" si="29"/>
        <v/>
      </c>
      <c r="BO27" s="33" t="str">
        <f t="shared" ca="1" si="29"/>
        <v/>
      </c>
      <c r="BP27" s="33" t="str">
        <f t="shared" ca="1" si="11"/>
        <v/>
      </c>
      <c r="BQ27" s="78" t="str">
        <f t="shared" ca="1" si="12"/>
        <v/>
      </c>
      <c r="BR27" s="78" t="str">
        <f t="shared" ca="1" si="13"/>
        <v/>
      </c>
      <c r="BS27" s="78" t="str">
        <f t="shared" ca="1" si="14"/>
        <v/>
      </c>
      <c r="BT27" s="78" t="str">
        <f t="shared" ca="1" si="19"/>
        <v/>
      </c>
      <c r="BU27" s="78" t="str">
        <f t="shared" ca="1" si="15"/>
        <v/>
      </c>
      <c r="BV27" s="78" t="str">
        <f t="shared" ca="1" si="16"/>
        <v/>
      </c>
    </row>
    <row r="28" spans="1:74" ht="15.75" customHeight="1" x14ac:dyDescent="0.25">
      <c r="A28" s="71" t="str">
        <f ca="1">IFERROR(__xludf.DUMMYFUNCTION("IFERROR(INDEX(FILTER(T4.2026!$A$2:$A$1000, T4.2026!$A$2:$A$1000&lt;&gt;""""), ROWS($A$9:A28)), """")"),"")</f>
        <v/>
      </c>
      <c r="B28" s="72" t="str">
        <f t="array" aca="1" ref="B28" ca="1">IF($A28="","",IFERROR(_xlfn.XLOOKUP($A28,'T4.2026'!$A$2:$A$1000,'T4.2026'!$B$2:$B$1000),""))</f>
        <v/>
      </c>
      <c r="C28" s="71" t="str">
        <f t="array" aca="1" ref="C28" ca="1">IF($A28="","",IFERROR(_xlfn.XLOOKUP($A28,'T4.2026'!$A$2:$A$1000,'T4.2026'!$C$2:$C$1000),""))</f>
        <v/>
      </c>
      <c r="D28" s="73" t="str">
        <f t="array" aca="1" ref="D28" ca="1">IF($A28="","",ROUND(IFERROR(_xlfn.XLOOKUP($A28,'T4.2026'!$A$2:$A$1000,'T4.2026'!$D$2:$D$1000),0),0))</f>
        <v/>
      </c>
      <c r="E28" s="73" t="str">
        <f t="array" aca="1" ref="E28" ca="1">IF($A28="","",IFERROR(_xlfn.XLOOKUP($A28,'T4.2026'!$A$2:$A$1000,'T4.2026'!$E$2:$E$1000),0))</f>
        <v/>
      </c>
      <c r="F28" s="75" t="str">
        <f t="shared" ca="1" si="6"/>
        <v/>
      </c>
      <c r="G28" s="75" t="str">
        <f t="shared" ref="G28:AI28" ca="1" si="39">IF($A28="","",IF(G$8=0,"",IF(SUM($AL28:$BO28)=0,0,ROUND($BU28*SUM($AL28:AM28)/SUM($AL28:$BO28),0)-ROUND($BU28*SUM($AL28:AL28)/SUM($AL28:$BO28),0))))</f>
        <v/>
      </c>
      <c r="H28" s="75" t="str">
        <f t="shared" ca="1" si="39"/>
        <v/>
      </c>
      <c r="I28" s="75" t="str">
        <f t="shared" ca="1" si="39"/>
        <v/>
      </c>
      <c r="J28" s="75" t="str">
        <f t="shared" ca="1" si="39"/>
        <v/>
      </c>
      <c r="K28" s="75" t="str">
        <f t="shared" ca="1" si="39"/>
        <v/>
      </c>
      <c r="L28" s="75" t="str">
        <f t="shared" ca="1" si="39"/>
        <v/>
      </c>
      <c r="M28" s="75" t="str">
        <f t="shared" ca="1" si="39"/>
        <v/>
      </c>
      <c r="N28" s="75" t="str">
        <f t="shared" ca="1" si="39"/>
        <v/>
      </c>
      <c r="O28" s="75" t="str">
        <f t="shared" ca="1" si="39"/>
        <v/>
      </c>
      <c r="P28" s="75" t="str">
        <f t="shared" ca="1" si="39"/>
        <v/>
      </c>
      <c r="Q28" s="75" t="str">
        <f t="shared" ca="1" si="39"/>
        <v/>
      </c>
      <c r="R28" s="75" t="str">
        <f t="shared" ca="1" si="39"/>
        <v/>
      </c>
      <c r="S28" s="75" t="str">
        <f t="shared" ca="1" si="39"/>
        <v/>
      </c>
      <c r="T28" s="75" t="str">
        <f t="shared" ca="1" si="39"/>
        <v/>
      </c>
      <c r="U28" s="75" t="str">
        <f t="shared" ca="1" si="39"/>
        <v/>
      </c>
      <c r="V28" s="75" t="str">
        <f t="shared" ca="1" si="39"/>
        <v/>
      </c>
      <c r="W28" s="75" t="str">
        <f t="shared" ca="1" si="39"/>
        <v/>
      </c>
      <c r="X28" s="75" t="str">
        <f t="shared" ca="1" si="39"/>
        <v/>
      </c>
      <c r="Y28" s="75" t="str">
        <f t="shared" ca="1" si="39"/>
        <v/>
      </c>
      <c r="Z28" s="75" t="str">
        <f t="shared" ca="1" si="39"/>
        <v/>
      </c>
      <c r="AA28" s="75" t="str">
        <f t="shared" ca="1" si="39"/>
        <v/>
      </c>
      <c r="AB28" s="75" t="str">
        <f t="shared" ca="1" si="39"/>
        <v/>
      </c>
      <c r="AC28" s="75" t="str">
        <f t="shared" ca="1" si="39"/>
        <v/>
      </c>
      <c r="AD28" s="75" t="str">
        <f t="shared" ca="1" si="39"/>
        <v/>
      </c>
      <c r="AE28" s="75" t="str">
        <f t="shared" ca="1" si="39"/>
        <v/>
      </c>
      <c r="AF28" s="75" t="str">
        <f t="shared" ca="1" si="39"/>
        <v/>
      </c>
      <c r="AG28" s="75" t="str">
        <f t="shared" ca="1" si="39"/>
        <v/>
      </c>
      <c r="AH28" s="75" t="str">
        <f t="shared" ca="1" si="39"/>
        <v/>
      </c>
      <c r="AI28" s="75" t="str">
        <f t="shared" ca="1" si="39"/>
        <v/>
      </c>
      <c r="AJ28" s="76" t="str">
        <f t="shared" ca="1" si="8"/>
        <v/>
      </c>
      <c r="AK28" s="76" t="str">
        <f t="shared" ca="1" si="9"/>
        <v/>
      </c>
      <c r="AL28" s="33" t="str">
        <f t="shared" ca="1" si="18"/>
        <v/>
      </c>
      <c r="AM28" s="33" t="str">
        <f t="shared" ca="1" si="18"/>
        <v/>
      </c>
      <c r="AN28" s="33" t="str">
        <f t="shared" ca="1" si="18"/>
        <v/>
      </c>
      <c r="AO28" s="33" t="str">
        <f t="shared" ca="1" si="18"/>
        <v/>
      </c>
      <c r="AP28" s="33" t="str">
        <f t="shared" ca="1" si="18"/>
        <v/>
      </c>
      <c r="AQ28" s="33" t="str">
        <f t="shared" ca="1" si="18"/>
        <v/>
      </c>
      <c r="AR28" s="33" t="str">
        <f t="shared" ca="1" si="18"/>
        <v/>
      </c>
      <c r="AS28" s="33" t="str">
        <f t="shared" ca="1" si="18"/>
        <v/>
      </c>
      <c r="AT28" s="33" t="str">
        <f t="shared" ca="1" si="18"/>
        <v/>
      </c>
      <c r="AU28" s="33" t="str">
        <f t="shared" ca="1" si="18"/>
        <v/>
      </c>
      <c r="AV28" s="33" t="str">
        <f t="shared" ca="1" si="18"/>
        <v/>
      </c>
      <c r="AW28" s="33" t="str">
        <f t="shared" ca="1" si="18"/>
        <v/>
      </c>
      <c r="AX28" s="33" t="str">
        <f t="shared" ca="1" si="18"/>
        <v/>
      </c>
      <c r="AY28" s="33" t="str">
        <f t="shared" ca="1" si="18"/>
        <v/>
      </c>
      <c r="AZ28" s="33" t="str">
        <f t="shared" ca="1" si="18"/>
        <v/>
      </c>
      <c r="BA28" s="33" t="str">
        <f t="shared" ca="1" si="18"/>
        <v/>
      </c>
      <c r="BB28" s="33" t="str">
        <f t="shared" ca="1" si="29"/>
        <v/>
      </c>
      <c r="BC28" s="33" t="str">
        <f t="shared" ca="1" si="29"/>
        <v/>
      </c>
      <c r="BD28" s="33" t="str">
        <f t="shared" ca="1" si="29"/>
        <v/>
      </c>
      <c r="BE28" s="33" t="str">
        <f t="shared" ca="1" si="29"/>
        <v/>
      </c>
      <c r="BF28" s="33" t="str">
        <f t="shared" ca="1" si="29"/>
        <v/>
      </c>
      <c r="BG28" s="33" t="str">
        <f t="shared" ca="1" si="29"/>
        <v/>
      </c>
      <c r="BH28" s="33" t="str">
        <f t="shared" ca="1" si="29"/>
        <v/>
      </c>
      <c r="BI28" s="33" t="str">
        <f t="shared" ca="1" si="29"/>
        <v/>
      </c>
      <c r="BJ28" s="33" t="str">
        <f t="shared" ca="1" si="29"/>
        <v/>
      </c>
      <c r="BK28" s="33" t="str">
        <f t="shared" ca="1" si="29"/>
        <v/>
      </c>
      <c r="BL28" s="33" t="str">
        <f t="shared" ca="1" si="29"/>
        <v/>
      </c>
      <c r="BM28" s="33" t="str">
        <f t="shared" ca="1" si="29"/>
        <v/>
      </c>
      <c r="BN28" s="33" t="str">
        <f t="shared" ca="1" si="29"/>
        <v/>
      </c>
      <c r="BO28" s="33" t="str">
        <f t="shared" ca="1" si="29"/>
        <v/>
      </c>
      <c r="BP28" s="33" t="str">
        <f t="shared" ca="1" si="11"/>
        <v/>
      </c>
      <c r="BQ28" s="78" t="str">
        <f t="shared" ca="1" si="12"/>
        <v/>
      </c>
      <c r="BR28" s="78" t="str">
        <f t="shared" ca="1" si="13"/>
        <v/>
      </c>
      <c r="BS28" s="78" t="str">
        <f t="shared" ca="1" si="14"/>
        <v/>
      </c>
      <c r="BT28" s="78" t="str">
        <f t="shared" ca="1" si="19"/>
        <v/>
      </c>
      <c r="BU28" s="78" t="str">
        <f t="shared" ca="1" si="15"/>
        <v/>
      </c>
      <c r="BV28" s="78" t="str">
        <f t="shared" ca="1" si="16"/>
        <v/>
      </c>
    </row>
    <row r="29" spans="1:74" ht="15.75" customHeight="1" x14ac:dyDescent="0.25">
      <c r="A29" s="71" t="str">
        <f ca="1">IFERROR(__xludf.DUMMYFUNCTION("IFERROR(INDEX(FILTER(T4.2026!$A$2:$A$1000, T4.2026!$A$2:$A$1000&lt;&gt;""""), ROWS($A$9:A29)), """")"),"")</f>
        <v/>
      </c>
      <c r="B29" s="72" t="str">
        <f t="array" aca="1" ref="B29" ca="1">IF($A29="","",IFERROR(_xlfn.XLOOKUP($A29,'T4.2026'!$A$2:$A$1000,'T4.2026'!$B$2:$B$1000),""))</f>
        <v/>
      </c>
      <c r="C29" s="71" t="str">
        <f t="array" aca="1" ref="C29" ca="1">IF($A29="","",IFERROR(_xlfn.XLOOKUP($A29,'T4.2026'!$A$2:$A$1000,'T4.2026'!$C$2:$C$1000),""))</f>
        <v/>
      </c>
      <c r="D29" s="73" t="str">
        <f t="array" aca="1" ref="D29" ca="1">IF($A29="","",ROUND(IFERROR(_xlfn.XLOOKUP($A29,'T4.2026'!$A$2:$A$1000,'T4.2026'!$D$2:$D$1000),0),0))</f>
        <v/>
      </c>
      <c r="E29" s="73" t="str">
        <f t="array" aca="1" ref="E29" ca="1">IF($A29="","",IFERROR(_xlfn.XLOOKUP($A29,'T4.2026'!$A$2:$A$1000,'T4.2026'!$E$2:$E$1000),0))</f>
        <v/>
      </c>
      <c r="F29" s="75" t="str">
        <f t="shared" ca="1" si="6"/>
        <v/>
      </c>
      <c r="G29" s="75" t="str">
        <f t="shared" ref="G29:AI29" ca="1" si="40">IF($A29="","",IF(G$8=0,"",IF(SUM($AL29:$BO29)=0,0,ROUND($BU29*SUM($AL29:AM29)/SUM($AL29:$BO29),0)-ROUND($BU29*SUM($AL29:AL29)/SUM($AL29:$BO29),0))))</f>
        <v/>
      </c>
      <c r="H29" s="75" t="str">
        <f t="shared" ca="1" si="40"/>
        <v/>
      </c>
      <c r="I29" s="75" t="str">
        <f t="shared" ca="1" si="40"/>
        <v/>
      </c>
      <c r="J29" s="75" t="str">
        <f t="shared" ca="1" si="40"/>
        <v/>
      </c>
      <c r="K29" s="75" t="str">
        <f t="shared" ca="1" si="40"/>
        <v/>
      </c>
      <c r="L29" s="75" t="str">
        <f t="shared" ca="1" si="40"/>
        <v/>
      </c>
      <c r="M29" s="75" t="str">
        <f t="shared" ca="1" si="40"/>
        <v/>
      </c>
      <c r="N29" s="75" t="str">
        <f t="shared" ca="1" si="40"/>
        <v/>
      </c>
      <c r="O29" s="75" t="str">
        <f t="shared" ca="1" si="40"/>
        <v/>
      </c>
      <c r="P29" s="75" t="str">
        <f t="shared" ca="1" si="40"/>
        <v/>
      </c>
      <c r="Q29" s="75" t="str">
        <f t="shared" ca="1" si="40"/>
        <v/>
      </c>
      <c r="R29" s="75" t="str">
        <f t="shared" ca="1" si="40"/>
        <v/>
      </c>
      <c r="S29" s="75" t="str">
        <f t="shared" ca="1" si="40"/>
        <v/>
      </c>
      <c r="T29" s="75" t="str">
        <f t="shared" ca="1" si="40"/>
        <v/>
      </c>
      <c r="U29" s="75" t="str">
        <f t="shared" ca="1" si="40"/>
        <v/>
      </c>
      <c r="V29" s="75" t="str">
        <f t="shared" ca="1" si="40"/>
        <v/>
      </c>
      <c r="W29" s="75" t="str">
        <f t="shared" ca="1" si="40"/>
        <v/>
      </c>
      <c r="X29" s="75" t="str">
        <f t="shared" ca="1" si="40"/>
        <v/>
      </c>
      <c r="Y29" s="75" t="str">
        <f t="shared" ca="1" si="40"/>
        <v/>
      </c>
      <c r="Z29" s="75" t="str">
        <f t="shared" ca="1" si="40"/>
        <v/>
      </c>
      <c r="AA29" s="75" t="str">
        <f t="shared" ca="1" si="40"/>
        <v/>
      </c>
      <c r="AB29" s="75" t="str">
        <f t="shared" ca="1" si="40"/>
        <v/>
      </c>
      <c r="AC29" s="75" t="str">
        <f t="shared" ca="1" si="40"/>
        <v/>
      </c>
      <c r="AD29" s="75" t="str">
        <f t="shared" ca="1" si="40"/>
        <v/>
      </c>
      <c r="AE29" s="75" t="str">
        <f t="shared" ca="1" si="40"/>
        <v/>
      </c>
      <c r="AF29" s="75" t="str">
        <f t="shared" ca="1" si="40"/>
        <v/>
      </c>
      <c r="AG29" s="75" t="str">
        <f t="shared" ca="1" si="40"/>
        <v/>
      </c>
      <c r="AH29" s="75" t="str">
        <f t="shared" ca="1" si="40"/>
        <v/>
      </c>
      <c r="AI29" s="75" t="str">
        <f t="shared" ca="1" si="40"/>
        <v/>
      </c>
      <c r="AJ29" s="76" t="str">
        <f t="shared" ca="1" si="8"/>
        <v/>
      </c>
      <c r="AK29" s="76" t="str">
        <f t="shared" ca="1" si="9"/>
        <v/>
      </c>
      <c r="AL29" s="33" t="str">
        <f t="shared" ca="1" si="18"/>
        <v/>
      </c>
      <c r="AM29" s="33" t="str">
        <f t="shared" ca="1" si="18"/>
        <v/>
      </c>
      <c r="AN29" s="33" t="str">
        <f t="shared" ca="1" si="18"/>
        <v/>
      </c>
      <c r="AO29" s="33" t="str">
        <f t="shared" ca="1" si="18"/>
        <v/>
      </c>
      <c r="AP29" s="33" t="str">
        <f t="shared" ca="1" si="18"/>
        <v/>
      </c>
      <c r="AQ29" s="33" t="str">
        <f t="shared" ca="1" si="18"/>
        <v/>
      </c>
      <c r="AR29" s="33" t="str">
        <f t="shared" ca="1" si="18"/>
        <v/>
      </c>
      <c r="AS29" s="33" t="str">
        <f t="shared" ca="1" si="18"/>
        <v/>
      </c>
      <c r="AT29" s="33" t="str">
        <f t="shared" ca="1" si="18"/>
        <v/>
      </c>
      <c r="AU29" s="33" t="str">
        <f t="shared" ca="1" si="18"/>
        <v/>
      </c>
      <c r="AV29" s="33" t="str">
        <f t="shared" ca="1" si="18"/>
        <v/>
      </c>
      <c r="AW29" s="33" t="str">
        <f t="shared" ca="1" si="18"/>
        <v/>
      </c>
      <c r="AX29" s="33" t="str">
        <f t="shared" ca="1" si="18"/>
        <v/>
      </c>
      <c r="AY29" s="33" t="str">
        <f t="shared" ca="1" si="18"/>
        <v/>
      </c>
      <c r="AZ29" s="33" t="str">
        <f t="shared" ca="1" si="18"/>
        <v/>
      </c>
      <c r="BA29" s="33" t="str">
        <f t="shared" ca="1" si="18"/>
        <v/>
      </c>
      <c r="BB29" s="33" t="str">
        <f t="shared" ca="1" si="29"/>
        <v/>
      </c>
      <c r="BC29" s="33" t="str">
        <f t="shared" ca="1" si="29"/>
        <v/>
      </c>
      <c r="BD29" s="33" t="str">
        <f t="shared" ca="1" si="29"/>
        <v/>
      </c>
      <c r="BE29" s="33" t="str">
        <f t="shared" ca="1" si="29"/>
        <v/>
      </c>
      <c r="BF29" s="33" t="str">
        <f t="shared" ca="1" si="29"/>
        <v/>
      </c>
      <c r="BG29" s="33" t="str">
        <f t="shared" ca="1" si="29"/>
        <v/>
      </c>
      <c r="BH29" s="33" t="str">
        <f t="shared" ca="1" si="29"/>
        <v/>
      </c>
      <c r="BI29" s="33" t="str">
        <f t="shared" ca="1" si="29"/>
        <v/>
      </c>
      <c r="BJ29" s="33" t="str">
        <f t="shared" ca="1" si="29"/>
        <v/>
      </c>
      <c r="BK29" s="33" t="str">
        <f t="shared" ca="1" si="29"/>
        <v/>
      </c>
      <c r="BL29" s="33" t="str">
        <f t="shared" ca="1" si="29"/>
        <v/>
      </c>
      <c r="BM29" s="33" t="str">
        <f t="shared" ca="1" si="29"/>
        <v/>
      </c>
      <c r="BN29" s="33" t="str">
        <f t="shared" ca="1" si="29"/>
        <v/>
      </c>
      <c r="BO29" s="33" t="str">
        <f t="shared" ca="1" si="29"/>
        <v/>
      </c>
      <c r="BP29" s="33" t="str">
        <f t="shared" ca="1" si="11"/>
        <v/>
      </c>
      <c r="BQ29" s="78" t="str">
        <f t="shared" ca="1" si="12"/>
        <v/>
      </c>
      <c r="BR29" s="78" t="str">
        <f t="shared" ca="1" si="13"/>
        <v/>
      </c>
      <c r="BS29" s="78" t="str">
        <f t="shared" ca="1" si="14"/>
        <v/>
      </c>
      <c r="BT29" s="78" t="str">
        <f t="shared" ca="1" si="19"/>
        <v/>
      </c>
      <c r="BU29" s="78" t="str">
        <f t="shared" ca="1" si="15"/>
        <v/>
      </c>
      <c r="BV29" s="78" t="str">
        <f t="shared" ca="1" si="16"/>
        <v/>
      </c>
    </row>
    <row r="30" spans="1:74" ht="15.75" customHeight="1" x14ac:dyDescent="0.25">
      <c r="A30" s="71" t="str">
        <f ca="1">IFERROR(__xludf.DUMMYFUNCTION("IFERROR(INDEX(FILTER(T4.2026!$A$2:$A$1000, T4.2026!$A$2:$A$1000&lt;&gt;""""), ROWS($A$9:A30)), """")"),"")</f>
        <v/>
      </c>
      <c r="B30" s="72" t="str">
        <f t="array" aca="1" ref="B30" ca="1">IF($A30="","",IFERROR(_xlfn.XLOOKUP($A30,'T4.2026'!$A$2:$A$1000,'T4.2026'!$B$2:$B$1000),""))</f>
        <v/>
      </c>
      <c r="C30" s="71" t="str">
        <f t="array" aca="1" ref="C30" ca="1">IF($A30="","",IFERROR(_xlfn.XLOOKUP($A30,'T4.2026'!$A$2:$A$1000,'T4.2026'!$C$2:$C$1000),""))</f>
        <v/>
      </c>
      <c r="D30" s="73" t="str">
        <f t="array" aca="1" ref="D30" ca="1">IF($A30="","",ROUND(IFERROR(_xlfn.XLOOKUP($A30,'T4.2026'!$A$2:$A$1000,'T4.2026'!$D$2:$D$1000),0),0))</f>
        <v/>
      </c>
      <c r="E30" s="73" t="str">
        <f t="array" aca="1" ref="E30" ca="1">IF($A30="","",IFERROR(_xlfn.XLOOKUP($A30,'T4.2026'!$A$2:$A$1000,'T4.2026'!$E$2:$E$1000),0))</f>
        <v/>
      </c>
      <c r="F30" s="75" t="str">
        <f t="shared" ca="1" si="6"/>
        <v/>
      </c>
      <c r="G30" s="75" t="str">
        <f t="shared" ref="G30:AI30" ca="1" si="41">IF($A30="","",IF(G$8=0,"",IF(SUM($AL30:$BO30)=0,0,ROUND($BU30*SUM($AL30:AM30)/SUM($AL30:$BO30),0)-ROUND($BU30*SUM($AL30:AL30)/SUM($AL30:$BO30),0))))</f>
        <v/>
      </c>
      <c r="H30" s="75" t="str">
        <f t="shared" ca="1" si="41"/>
        <v/>
      </c>
      <c r="I30" s="75" t="str">
        <f t="shared" ca="1" si="41"/>
        <v/>
      </c>
      <c r="J30" s="75" t="str">
        <f t="shared" ca="1" si="41"/>
        <v/>
      </c>
      <c r="K30" s="75" t="str">
        <f t="shared" ca="1" si="41"/>
        <v/>
      </c>
      <c r="L30" s="75" t="str">
        <f t="shared" ca="1" si="41"/>
        <v/>
      </c>
      <c r="M30" s="75" t="str">
        <f t="shared" ca="1" si="41"/>
        <v/>
      </c>
      <c r="N30" s="75" t="str">
        <f t="shared" ca="1" si="41"/>
        <v/>
      </c>
      <c r="O30" s="75" t="str">
        <f t="shared" ca="1" si="41"/>
        <v/>
      </c>
      <c r="P30" s="75" t="str">
        <f t="shared" ca="1" si="41"/>
        <v/>
      </c>
      <c r="Q30" s="75" t="str">
        <f t="shared" ca="1" si="41"/>
        <v/>
      </c>
      <c r="R30" s="75" t="str">
        <f t="shared" ca="1" si="41"/>
        <v/>
      </c>
      <c r="S30" s="75" t="str">
        <f t="shared" ca="1" si="41"/>
        <v/>
      </c>
      <c r="T30" s="75" t="str">
        <f t="shared" ca="1" si="41"/>
        <v/>
      </c>
      <c r="U30" s="75" t="str">
        <f t="shared" ca="1" si="41"/>
        <v/>
      </c>
      <c r="V30" s="75" t="str">
        <f t="shared" ca="1" si="41"/>
        <v/>
      </c>
      <c r="W30" s="75" t="str">
        <f t="shared" ca="1" si="41"/>
        <v/>
      </c>
      <c r="X30" s="75" t="str">
        <f t="shared" ca="1" si="41"/>
        <v/>
      </c>
      <c r="Y30" s="75" t="str">
        <f t="shared" ca="1" si="41"/>
        <v/>
      </c>
      <c r="Z30" s="75" t="str">
        <f t="shared" ca="1" si="41"/>
        <v/>
      </c>
      <c r="AA30" s="75" t="str">
        <f t="shared" ca="1" si="41"/>
        <v/>
      </c>
      <c r="AB30" s="75" t="str">
        <f t="shared" ca="1" si="41"/>
        <v/>
      </c>
      <c r="AC30" s="75" t="str">
        <f t="shared" ca="1" si="41"/>
        <v/>
      </c>
      <c r="AD30" s="75" t="str">
        <f t="shared" ca="1" si="41"/>
        <v/>
      </c>
      <c r="AE30" s="75" t="str">
        <f t="shared" ca="1" si="41"/>
        <v/>
      </c>
      <c r="AF30" s="75" t="str">
        <f t="shared" ca="1" si="41"/>
        <v/>
      </c>
      <c r="AG30" s="75" t="str">
        <f t="shared" ca="1" si="41"/>
        <v/>
      </c>
      <c r="AH30" s="75" t="str">
        <f t="shared" ca="1" si="41"/>
        <v/>
      </c>
      <c r="AI30" s="75" t="str">
        <f t="shared" ca="1" si="41"/>
        <v/>
      </c>
      <c r="AJ30" s="76" t="str">
        <f t="shared" ca="1" si="8"/>
        <v/>
      </c>
      <c r="AK30" s="76" t="str">
        <f t="shared" ca="1" si="9"/>
        <v/>
      </c>
      <c r="AL30" s="33" t="str">
        <f t="shared" ca="1" si="18"/>
        <v/>
      </c>
      <c r="AM30" s="33" t="str">
        <f t="shared" ca="1" si="18"/>
        <v/>
      </c>
      <c r="AN30" s="33" t="str">
        <f t="shared" ca="1" si="18"/>
        <v/>
      </c>
      <c r="AO30" s="33" t="str">
        <f t="shared" ca="1" si="18"/>
        <v/>
      </c>
      <c r="AP30" s="33" t="str">
        <f t="shared" ca="1" si="18"/>
        <v/>
      </c>
      <c r="AQ30" s="33" t="str">
        <f t="shared" ca="1" si="18"/>
        <v/>
      </c>
      <c r="AR30" s="33" t="str">
        <f t="shared" ca="1" si="18"/>
        <v/>
      </c>
      <c r="AS30" s="33" t="str">
        <f t="shared" ca="1" si="18"/>
        <v/>
      </c>
      <c r="AT30" s="33" t="str">
        <f t="shared" ca="1" si="18"/>
        <v/>
      </c>
      <c r="AU30" s="33" t="str">
        <f t="shared" ca="1" si="18"/>
        <v/>
      </c>
      <c r="AV30" s="33" t="str">
        <f t="shared" ca="1" si="18"/>
        <v/>
      </c>
      <c r="AW30" s="33" t="str">
        <f t="shared" ca="1" si="18"/>
        <v/>
      </c>
      <c r="AX30" s="33" t="str">
        <f t="shared" ca="1" si="18"/>
        <v/>
      </c>
      <c r="AY30" s="33" t="str">
        <f t="shared" ca="1" si="18"/>
        <v/>
      </c>
      <c r="AZ30" s="33" t="str">
        <f t="shared" ca="1" si="18"/>
        <v/>
      </c>
      <c r="BA30" s="33" t="str">
        <f t="shared" ca="1" si="18"/>
        <v/>
      </c>
      <c r="BB30" s="33" t="str">
        <f t="shared" ca="1" si="29"/>
        <v/>
      </c>
      <c r="BC30" s="33" t="str">
        <f t="shared" ca="1" si="29"/>
        <v/>
      </c>
      <c r="BD30" s="33" t="str">
        <f t="shared" ca="1" si="29"/>
        <v/>
      </c>
      <c r="BE30" s="33" t="str">
        <f t="shared" ca="1" si="29"/>
        <v/>
      </c>
      <c r="BF30" s="33" t="str">
        <f t="shared" ca="1" si="29"/>
        <v/>
      </c>
      <c r="BG30" s="33" t="str">
        <f t="shared" ca="1" si="29"/>
        <v/>
      </c>
      <c r="BH30" s="33" t="str">
        <f t="shared" ca="1" si="29"/>
        <v/>
      </c>
      <c r="BI30" s="33" t="str">
        <f t="shared" ca="1" si="29"/>
        <v/>
      </c>
      <c r="BJ30" s="33" t="str">
        <f t="shared" ca="1" si="29"/>
        <v/>
      </c>
      <c r="BK30" s="33" t="str">
        <f t="shared" ca="1" si="29"/>
        <v/>
      </c>
      <c r="BL30" s="33" t="str">
        <f t="shared" ca="1" si="29"/>
        <v/>
      </c>
      <c r="BM30" s="33" t="str">
        <f t="shared" ca="1" si="29"/>
        <v/>
      </c>
      <c r="BN30" s="33" t="str">
        <f t="shared" ca="1" si="29"/>
        <v/>
      </c>
      <c r="BO30" s="33" t="str">
        <f t="shared" ca="1" si="29"/>
        <v/>
      </c>
      <c r="BP30" s="33" t="str">
        <f t="shared" ca="1" si="11"/>
        <v/>
      </c>
      <c r="BQ30" s="78" t="str">
        <f t="shared" ca="1" si="12"/>
        <v/>
      </c>
      <c r="BR30" s="78" t="str">
        <f t="shared" ca="1" si="13"/>
        <v/>
      </c>
      <c r="BS30" s="78" t="str">
        <f t="shared" ca="1" si="14"/>
        <v/>
      </c>
      <c r="BT30" s="78" t="str">
        <f t="shared" ca="1" si="19"/>
        <v/>
      </c>
      <c r="BU30" s="78" t="str">
        <f t="shared" ca="1" si="15"/>
        <v/>
      </c>
      <c r="BV30" s="78" t="str">
        <f t="shared" ca="1" si="16"/>
        <v/>
      </c>
    </row>
    <row r="31" spans="1:74" ht="15.75" customHeight="1" x14ac:dyDescent="0.25">
      <c r="A31" s="71" t="str">
        <f ca="1">IFERROR(__xludf.DUMMYFUNCTION("IFERROR(INDEX(FILTER(T4.2026!$A$2:$A$1000, T4.2026!$A$2:$A$1000&lt;&gt;""""), ROWS($A$9:A31)), """")"),"")</f>
        <v/>
      </c>
      <c r="B31" s="72" t="str">
        <f t="array" aca="1" ref="B31" ca="1">IF($A31="","",IFERROR(_xlfn.XLOOKUP($A31,'T4.2026'!$A$2:$A$1000,'T4.2026'!$B$2:$B$1000),""))</f>
        <v/>
      </c>
      <c r="C31" s="71" t="str">
        <f t="array" aca="1" ref="C31" ca="1">IF($A31="","",IFERROR(_xlfn.XLOOKUP($A31,'T4.2026'!$A$2:$A$1000,'T4.2026'!$C$2:$C$1000),""))</f>
        <v/>
      </c>
      <c r="D31" s="73" t="str">
        <f t="array" aca="1" ref="D31" ca="1">IF($A31="","",ROUND(IFERROR(_xlfn.XLOOKUP($A31,'T4.2026'!$A$2:$A$1000,'T4.2026'!$D$2:$D$1000),0),0))</f>
        <v/>
      </c>
      <c r="E31" s="73" t="str">
        <f t="array" aca="1" ref="E31" ca="1">IF($A31="","",IFERROR(_xlfn.XLOOKUP($A31,'T4.2026'!$A$2:$A$1000,'T4.2026'!$E$2:$E$1000),0))</f>
        <v/>
      </c>
      <c r="F31" s="75" t="str">
        <f t="shared" ca="1" si="6"/>
        <v/>
      </c>
      <c r="G31" s="75" t="str">
        <f t="shared" ref="G31:AI31" ca="1" si="42">IF($A31="","",IF(G$8=0,"",IF(SUM($AL31:$BO31)=0,0,ROUND($BU31*SUM($AL31:AM31)/SUM($AL31:$BO31),0)-ROUND($BU31*SUM($AL31:AL31)/SUM($AL31:$BO31),0))))</f>
        <v/>
      </c>
      <c r="H31" s="75" t="str">
        <f t="shared" ca="1" si="42"/>
        <v/>
      </c>
      <c r="I31" s="75" t="str">
        <f t="shared" ca="1" si="42"/>
        <v/>
      </c>
      <c r="J31" s="75" t="str">
        <f t="shared" ca="1" si="42"/>
        <v/>
      </c>
      <c r="K31" s="75" t="str">
        <f t="shared" ca="1" si="42"/>
        <v/>
      </c>
      <c r="L31" s="75" t="str">
        <f t="shared" ca="1" si="42"/>
        <v/>
      </c>
      <c r="M31" s="75" t="str">
        <f t="shared" ca="1" si="42"/>
        <v/>
      </c>
      <c r="N31" s="75" t="str">
        <f t="shared" ca="1" si="42"/>
        <v/>
      </c>
      <c r="O31" s="75" t="str">
        <f t="shared" ca="1" si="42"/>
        <v/>
      </c>
      <c r="P31" s="75" t="str">
        <f t="shared" ca="1" si="42"/>
        <v/>
      </c>
      <c r="Q31" s="75" t="str">
        <f t="shared" ca="1" si="42"/>
        <v/>
      </c>
      <c r="R31" s="75" t="str">
        <f t="shared" ca="1" si="42"/>
        <v/>
      </c>
      <c r="S31" s="75" t="str">
        <f t="shared" ca="1" si="42"/>
        <v/>
      </c>
      <c r="T31" s="75" t="str">
        <f t="shared" ca="1" si="42"/>
        <v/>
      </c>
      <c r="U31" s="75" t="str">
        <f t="shared" ca="1" si="42"/>
        <v/>
      </c>
      <c r="V31" s="75" t="str">
        <f t="shared" ca="1" si="42"/>
        <v/>
      </c>
      <c r="W31" s="75" t="str">
        <f t="shared" ca="1" si="42"/>
        <v/>
      </c>
      <c r="X31" s="75" t="str">
        <f t="shared" ca="1" si="42"/>
        <v/>
      </c>
      <c r="Y31" s="75" t="str">
        <f t="shared" ca="1" si="42"/>
        <v/>
      </c>
      <c r="Z31" s="75" t="str">
        <f t="shared" ca="1" si="42"/>
        <v/>
      </c>
      <c r="AA31" s="75" t="str">
        <f t="shared" ca="1" si="42"/>
        <v/>
      </c>
      <c r="AB31" s="75" t="str">
        <f t="shared" ca="1" si="42"/>
        <v/>
      </c>
      <c r="AC31" s="75" t="str">
        <f t="shared" ca="1" si="42"/>
        <v/>
      </c>
      <c r="AD31" s="75" t="str">
        <f t="shared" ca="1" si="42"/>
        <v/>
      </c>
      <c r="AE31" s="75" t="str">
        <f t="shared" ca="1" si="42"/>
        <v/>
      </c>
      <c r="AF31" s="75" t="str">
        <f t="shared" ca="1" si="42"/>
        <v/>
      </c>
      <c r="AG31" s="75" t="str">
        <f t="shared" ca="1" si="42"/>
        <v/>
      </c>
      <c r="AH31" s="75" t="str">
        <f t="shared" ca="1" si="42"/>
        <v/>
      </c>
      <c r="AI31" s="75" t="str">
        <f t="shared" ca="1" si="42"/>
        <v/>
      </c>
      <c r="AJ31" s="76" t="str">
        <f t="shared" ca="1" si="8"/>
        <v/>
      </c>
      <c r="AK31" s="76" t="str">
        <f t="shared" ca="1" si="9"/>
        <v/>
      </c>
      <c r="AL31" s="33" t="str">
        <f t="shared" ca="1" si="18"/>
        <v/>
      </c>
      <c r="AM31" s="33" t="str">
        <f t="shared" ca="1" si="18"/>
        <v/>
      </c>
      <c r="AN31" s="33" t="str">
        <f t="shared" ca="1" si="18"/>
        <v/>
      </c>
      <c r="AO31" s="33" t="str">
        <f t="shared" ca="1" si="18"/>
        <v/>
      </c>
      <c r="AP31" s="33" t="str">
        <f t="shared" ca="1" si="18"/>
        <v/>
      </c>
      <c r="AQ31" s="33" t="str">
        <f t="shared" ca="1" si="18"/>
        <v/>
      </c>
      <c r="AR31" s="33" t="str">
        <f t="shared" ca="1" si="18"/>
        <v/>
      </c>
      <c r="AS31" s="33" t="str">
        <f t="shared" ca="1" si="18"/>
        <v/>
      </c>
      <c r="AT31" s="33" t="str">
        <f t="shared" ca="1" si="18"/>
        <v/>
      </c>
      <c r="AU31" s="33" t="str">
        <f t="shared" ca="1" si="18"/>
        <v/>
      </c>
      <c r="AV31" s="33" t="str">
        <f t="shared" ca="1" si="18"/>
        <v/>
      </c>
      <c r="AW31" s="33" t="str">
        <f t="shared" ca="1" si="18"/>
        <v/>
      </c>
      <c r="AX31" s="33" t="str">
        <f t="shared" ca="1" si="18"/>
        <v/>
      </c>
      <c r="AY31" s="33" t="str">
        <f t="shared" ca="1" si="18"/>
        <v/>
      </c>
      <c r="AZ31" s="33" t="str">
        <f t="shared" ca="1" si="18"/>
        <v/>
      </c>
      <c r="BA31" s="33" t="str">
        <f t="shared" ca="1" si="18"/>
        <v/>
      </c>
      <c r="BB31" s="33" t="str">
        <f t="shared" ca="1" si="29"/>
        <v/>
      </c>
      <c r="BC31" s="33" t="str">
        <f t="shared" ca="1" si="29"/>
        <v/>
      </c>
      <c r="BD31" s="33" t="str">
        <f t="shared" ca="1" si="29"/>
        <v/>
      </c>
      <c r="BE31" s="33" t="str">
        <f t="shared" ca="1" si="29"/>
        <v/>
      </c>
      <c r="BF31" s="33" t="str">
        <f t="shared" ca="1" si="29"/>
        <v/>
      </c>
      <c r="BG31" s="33" t="str">
        <f t="shared" ca="1" si="29"/>
        <v/>
      </c>
      <c r="BH31" s="33" t="str">
        <f t="shared" ca="1" si="29"/>
        <v/>
      </c>
      <c r="BI31" s="33" t="str">
        <f t="shared" ca="1" si="29"/>
        <v/>
      </c>
      <c r="BJ31" s="33" t="str">
        <f t="shared" ca="1" si="29"/>
        <v/>
      </c>
      <c r="BK31" s="33" t="str">
        <f t="shared" ca="1" si="29"/>
        <v/>
      </c>
      <c r="BL31" s="33" t="str">
        <f t="shared" ca="1" si="29"/>
        <v/>
      </c>
      <c r="BM31" s="33" t="str">
        <f t="shared" ca="1" si="29"/>
        <v/>
      </c>
      <c r="BN31" s="33" t="str">
        <f t="shared" ca="1" si="29"/>
        <v/>
      </c>
      <c r="BO31" s="33" t="str">
        <f t="shared" ca="1" si="29"/>
        <v/>
      </c>
      <c r="BP31" s="33" t="str">
        <f t="shared" ca="1" si="11"/>
        <v/>
      </c>
      <c r="BQ31" s="78" t="str">
        <f t="shared" ca="1" si="12"/>
        <v/>
      </c>
      <c r="BR31" s="78" t="str">
        <f t="shared" ca="1" si="13"/>
        <v/>
      </c>
      <c r="BS31" s="78" t="str">
        <f t="shared" ca="1" si="14"/>
        <v/>
      </c>
      <c r="BT31" s="78" t="str">
        <f t="shared" ca="1" si="19"/>
        <v/>
      </c>
      <c r="BU31" s="78" t="str">
        <f t="shared" ca="1" si="15"/>
        <v/>
      </c>
      <c r="BV31" s="78" t="str">
        <f t="shared" ca="1" si="16"/>
        <v/>
      </c>
    </row>
    <row r="32" spans="1:74" ht="15.75" customHeight="1" x14ac:dyDescent="0.25">
      <c r="A32" s="71" t="str">
        <f ca="1">IFERROR(__xludf.DUMMYFUNCTION("IFERROR(INDEX(FILTER(T4.2026!$A$2:$A$1000, T4.2026!$A$2:$A$1000&lt;&gt;""""), ROWS($A$9:A32)), """")"),"")</f>
        <v/>
      </c>
      <c r="B32" s="72" t="str">
        <f t="array" aca="1" ref="B32" ca="1">IF($A32="","",IFERROR(_xlfn.XLOOKUP($A32,'T4.2026'!$A$2:$A$1000,'T4.2026'!$B$2:$B$1000),""))</f>
        <v/>
      </c>
      <c r="C32" s="71" t="str">
        <f t="array" aca="1" ref="C32" ca="1">IF($A32="","",IFERROR(_xlfn.XLOOKUP($A32,'T4.2026'!$A$2:$A$1000,'T4.2026'!$C$2:$C$1000),""))</f>
        <v/>
      </c>
      <c r="D32" s="73" t="str">
        <f t="array" aca="1" ref="D32" ca="1">IF($A32="","",ROUND(IFERROR(_xlfn.XLOOKUP($A32,'T4.2026'!$A$2:$A$1000,'T4.2026'!$D$2:$D$1000),0),0))</f>
        <v/>
      </c>
      <c r="E32" s="73" t="str">
        <f t="array" aca="1" ref="E32" ca="1">IF($A32="","",IFERROR(_xlfn.XLOOKUP($A32,'T4.2026'!$A$2:$A$1000,'T4.2026'!$E$2:$E$1000),0))</f>
        <v/>
      </c>
      <c r="F32" s="75" t="str">
        <f t="shared" ca="1" si="6"/>
        <v/>
      </c>
      <c r="G32" s="75" t="str">
        <f t="shared" ref="G32:AI32" ca="1" si="43">IF($A32="","",IF(G$8=0,"",IF(SUM($AL32:$BO32)=0,0,ROUND($BU32*SUM($AL32:AM32)/SUM($AL32:$BO32),0)-ROUND($BU32*SUM($AL32:AL32)/SUM($AL32:$BO32),0))))</f>
        <v/>
      </c>
      <c r="H32" s="75" t="str">
        <f t="shared" ca="1" si="43"/>
        <v/>
      </c>
      <c r="I32" s="75" t="str">
        <f t="shared" ca="1" si="43"/>
        <v/>
      </c>
      <c r="J32" s="75" t="str">
        <f t="shared" ca="1" si="43"/>
        <v/>
      </c>
      <c r="K32" s="75" t="str">
        <f t="shared" ca="1" si="43"/>
        <v/>
      </c>
      <c r="L32" s="75" t="str">
        <f t="shared" ca="1" si="43"/>
        <v/>
      </c>
      <c r="M32" s="75" t="str">
        <f t="shared" ca="1" si="43"/>
        <v/>
      </c>
      <c r="N32" s="75" t="str">
        <f t="shared" ca="1" si="43"/>
        <v/>
      </c>
      <c r="O32" s="75" t="str">
        <f t="shared" ca="1" si="43"/>
        <v/>
      </c>
      <c r="P32" s="75" t="str">
        <f t="shared" ca="1" si="43"/>
        <v/>
      </c>
      <c r="Q32" s="75" t="str">
        <f t="shared" ca="1" si="43"/>
        <v/>
      </c>
      <c r="R32" s="75" t="str">
        <f t="shared" ca="1" si="43"/>
        <v/>
      </c>
      <c r="S32" s="75" t="str">
        <f t="shared" ca="1" si="43"/>
        <v/>
      </c>
      <c r="T32" s="75" t="str">
        <f t="shared" ca="1" si="43"/>
        <v/>
      </c>
      <c r="U32" s="75" t="str">
        <f t="shared" ca="1" si="43"/>
        <v/>
      </c>
      <c r="V32" s="75" t="str">
        <f t="shared" ca="1" si="43"/>
        <v/>
      </c>
      <c r="W32" s="75" t="str">
        <f t="shared" ca="1" si="43"/>
        <v/>
      </c>
      <c r="X32" s="75" t="str">
        <f t="shared" ca="1" si="43"/>
        <v/>
      </c>
      <c r="Y32" s="75" t="str">
        <f t="shared" ca="1" si="43"/>
        <v/>
      </c>
      <c r="Z32" s="75" t="str">
        <f t="shared" ca="1" si="43"/>
        <v/>
      </c>
      <c r="AA32" s="75" t="str">
        <f t="shared" ca="1" si="43"/>
        <v/>
      </c>
      <c r="AB32" s="75" t="str">
        <f t="shared" ca="1" si="43"/>
        <v/>
      </c>
      <c r="AC32" s="75" t="str">
        <f t="shared" ca="1" si="43"/>
        <v/>
      </c>
      <c r="AD32" s="75" t="str">
        <f t="shared" ca="1" si="43"/>
        <v/>
      </c>
      <c r="AE32" s="75" t="str">
        <f t="shared" ca="1" si="43"/>
        <v/>
      </c>
      <c r="AF32" s="75" t="str">
        <f t="shared" ca="1" si="43"/>
        <v/>
      </c>
      <c r="AG32" s="75" t="str">
        <f t="shared" ca="1" si="43"/>
        <v/>
      </c>
      <c r="AH32" s="75" t="str">
        <f t="shared" ca="1" si="43"/>
        <v/>
      </c>
      <c r="AI32" s="75" t="str">
        <f t="shared" ca="1" si="43"/>
        <v/>
      </c>
      <c r="AJ32" s="76" t="str">
        <f t="shared" ca="1" si="8"/>
        <v/>
      </c>
      <c r="AK32" s="76" t="str">
        <f t="shared" ca="1" si="9"/>
        <v/>
      </c>
      <c r="AL32" s="33" t="str">
        <f t="shared" ca="1" si="18"/>
        <v/>
      </c>
      <c r="AM32" s="33" t="str">
        <f t="shared" ca="1" si="18"/>
        <v/>
      </c>
      <c r="AN32" s="33" t="str">
        <f t="shared" ca="1" si="18"/>
        <v/>
      </c>
      <c r="AO32" s="33" t="str">
        <f t="shared" ca="1" si="18"/>
        <v/>
      </c>
      <c r="AP32" s="33" t="str">
        <f t="shared" ca="1" si="18"/>
        <v/>
      </c>
      <c r="AQ32" s="33" t="str">
        <f t="shared" ca="1" si="18"/>
        <v/>
      </c>
      <c r="AR32" s="33" t="str">
        <f t="shared" ca="1" si="18"/>
        <v/>
      </c>
      <c r="AS32" s="33" t="str">
        <f t="shared" ca="1" si="18"/>
        <v/>
      </c>
      <c r="AT32" s="33" t="str">
        <f t="shared" ca="1" si="18"/>
        <v/>
      </c>
      <c r="AU32" s="33" t="str">
        <f t="shared" ca="1" si="18"/>
        <v/>
      </c>
      <c r="AV32" s="33" t="str">
        <f t="shared" ca="1" si="18"/>
        <v/>
      </c>
      <c r="AW32" s="33" t="str">
        <f t="shared" ca="1" si="18"/>
        <v/>
      </c>
      <c r="AX32" s="33" t="str">
        <f t="shared" ca="1" si="18"/>
        <v/>
      </c>
      <c r="AY32" s="33" t="str">
        <f t="shared" ca="1" si="18"/>
        <v/>
      </c>
      <c r="AZ32" s="33" t="str">
        <f t="shared" ca="1" si="18"/>
        <v/>
      </c>
      <c r="BA32" s="33" t="str">
        <f t="shared" ca="1" si="18"/>
        <v/>
      </c>
      <c r="BB32" s="33" t="str">
        <f t="shared" ca="1" si="29"/>
        <v/>
      </c>
      <c r="BC32" s="33" t="str">
        <f t="shared" ca="1" si="29"/>
        <v/>
      </c>
      <c r="BD32" s="33" t="str">
        <f t="shared" ca="1" si="29"/>
        <v/>
      </c>
      <c r="BE32" s="33" t="str">
        <f t="shared" ca="1" si="29"/>
        <v/>
      </c>
      <c r="BF32" s="33" t="str">
        <f t="shared" ca="1" si="29"/>
        <v/>
      </c>
      <c r="BG32" s="33" t="str">
        <f t="shared" ca="1" si="29"/>
        <v/>
      </c>
      <c r="BH32" s="33" t="str">
        <f t="shared" ca="1" si="29"/>
        <v/>
      </c>
      <c r="BI32" s="33" t="str">
        <f t="shared" ca="1" si="29"/>
        <v/>
      </c>
      <c r="BJ32" s="33" t="str">
        <f t="shared" ca="1" si="29"/>
        <v/>
      </c>
      <c r="BK32" s="33" t="str">
        <f t="shared" ca="1" si="29"/>
        <v/>
      </c>
      <c r="BL32" s="33" t="str">
        <f t="shared" ca="1" si="29"/>
        <v/>
      </c>
      <c r="BM32" s="33" t="str">
        <f t="shared" ca="1" si="29"/>
        <v/>
      </c>
      <c r="BN32" s="33" t="str">
        <f t="shared" ca="1" si="29"/>
        <v/>
      </c>
      <c r="BO32" s="33" t="str">
        <f t="shared" ca="1" si="29"/>
        <v/>
      </c>
      <c r="BP32" s="33" t="str">
        <f t="shared" ca="1" si="11"/>
        <v/>
      </c>
      <c r="BQ32" s="78" t="str">
        <f t="shared" ca="1" si="12"/>
        <v/>
      </c>
      <c r="BR32" s="78" t="str">
        <f t="shared" ca="1" si="13"/>
        <v/>
      </c>
      <c r="BS32" s="78" t="str">
        <f t="shared" ca="1" si="14"/>
        <v/>
      </c>
      <c r="BT32" s="78" t="str">
        <f t="shared" ca="1" si="19"/>
        <v/>
      </c>
      <c r="BU32" s="78" t="str">
        <f t="shared" ca="1" si="15"/>
        <v/>
      </c>
      <c r="BV32" s="78" t="str">
        <f t="shared" ca="1" si="16"/>
        <v/>
      </c>
    </row>
    <row r="33" spans="1:74" ht="15.75" customHeight="1" x14ac:dyDescent="0.25">
      <c r="A33" s="71" t="str">
        <f ca="1">IFERROR(__xludf.DUMMYFUNCTION("IFERROR(INDEX(FILTER(T4.2026!$A$2:$A$1000, T4.2026!$A$2:$A$1000&lt;&gt;""""), ROWS($A$9:A33)), """")"),"")</f>
        <v/>
      </c>
      <c r="B33" s="72" t="str">
        <f t="array" aca="1" ref="B33" ca="1">IF($A33="","",IFERROR(_xlfn.XLOOKUP($A33,'T4.2026'!$A$2:$A$1000,'T4.2026'!$B$2:$B$1000),""))</f>
        <v/>
      </c>
      <c r="C33" s="71" t="str">
        <f t="array" aca="1" ref="C33" ca="1">IF($A33="","",IFERROR(_xlfn.XLOOKUP($A33,'T4.2026'!$A$2:$A$1000,'T4.2026'!$C$2:$C$1000),""))</f>
        <v/>
      </c>
      <c r="D33" s="73" t="str">
        <f t="array" aca="1" ref="D33" ca="1">IF($A33="","",ROUND(IFERROR(_xlfn.XLOOKUP($A33,'T4.2026'!$A$2:$A$1000,'T4.2026'!$D$2:$D$1000),0),0))</f>
        <v/>
      </c>
      <c r="E33" s="73" t="str">
        <f t="array" aca="1" ref="E33" ca="1">IF($A33="","",IFERROR(_xlfn.XLOOKUP($A33,'T4.2026'!$A$2:$A$1000,'T4.2026'!$E$2:$E$1000),0))</f>
        <v/>
      </c>
      <c r="F33" s="75" t="str">
        <f t="shared" ca="1" si="6"/>
        <v/>
      </c>
      <c r="G33" s="75" t="str">
        <f t="shared" ref="G33:AI33" ca="1" si="44">IF($A33="","",IF(G$8=0,"",IF(SUM($AL33:$BO33)=0,0,ROUND($BU33*SUM($AL33:AM33)/SUM($AL33:$BO33),0)-ROUND($BU33*SUM($AL33:AL33)/SUM($AL33:$BO33),0))))</f>
        <v/>
      </c>
      <c r="H33" s="75" t="str">
        <f t="shared" ca="1" si="44"/>
        <v/>
      </c>
      <c r="I33" s="75" t="str">
        <f t="shared" ca="1" si="44"/>
        <v/>
      </c>
      <c r="J33" s="75" t="str">
        <f t="shared" ca="1" si="44"/>
        <v/>
      </c>
      <c r="K33" s="75" t="str">
        <f t="shared" ca="1" si="44"/>
        <v/>
      </c>
      <c r="L33" s="75" t="str">
        <f t="shared" ca="1" si="44"/>
        <v/>
      </c>
      <c r="M33" s="75" t="str">
        <f t="shared" ca="1" si="44"/>
        <v/>
      </c>
      <c r="N33" s="75" t="str">
        <f t="shared" ca="1" si="44"/>
        <v/>
      </c>
      <c r="O33" s="75" t="str">
        <f t="shared" ca="1" si="44"/>
        <v/>
      </c>
      <c r="P33" s="75" t="str">
        <f t="shared" ca="1" si="44"/>
        <v/>
      </c>
      <c r="Q33" s="75" t="str">
        <f t="shared" ca="1" si="44"/>
        <v/>
      </c>
      <c r="R33" s="75" t="str">
        <f t="shared" ca="1" si="44"/>
        <v/>
      </c>
      <c r="S33" s="75" t="str">
        <f t="shared" ca="1" si="44"/>
        <v/>
      </c>
      <c r="T33" s="75" t="str">
        <f t="shared" ca="1" si="44"/>
        <v/>
      </c>
      <c r="U33" s="75" t="str">
        <f t="shared" ca="1" si="44"/>
        <v/>
      </c>
      <c r="V33" s="75" t="str">
        <f t="shared" ca="1" si="44"/>
        <v/>
      </c>
      <c r="W33" s="75" t="str">
        <f t="shared" ca="1" si="44"/>
        <v/>
      </c>
      <c r="X33" s="75" t="str">
        <f t="shared" ca="1" si="44"/>
        <v/>
      </c>
      <c r="Y33" s="75" t="str">
        <f t="shared" ca="1" si="44"/>
        <v/>
      </c>
      <c r="Z33" s="75" t="str">
        <f t="shared" ca="1" si="44"/>
        <v/>
      </c>
      <c r="AA33" s="75" t="str">
        <f t="shared" ca="1" si="44"/>
        <v/>
      </c>
      <c r="AB33" s="75" t="str">
        <f t="shared" ca="1" si="44"/>
        <v/>
      </c>
      <c r="AC33" s="75" t="str">
        <f t="shared" ca="1" si="44"/>
        <v/>
      </c>
      <c r="AD33" s="75" t="str">
        <f t="shared" ca="1" si="44"/>
        <v/>
      </c>
      <c r="AE33" s="75" t="str">
        <f t="shared" ca="1" si="44"/>
        <v/>
      </c>
      <c r="AF33" s="75" t="str">
        <f t="shared" ca="1" si="44"/>
        <v/>
      </c>
      <c r="AG33" s="75" t="str">
        <f t="shared" ca="1" si="44"/>
        <v/>
      </c>
      <c r="AH33" s="75" t="str">
        <f t="shared" ca="1" si="44"/>
        <v/>
      </c>
      <c r="AI33" s="75" t="str">
        <f t="shared" ca="1" si="44"/>
        <v/>
      </c>
      <c r="AJ33" s="76" t="str">
        <f t="shared" ca="1" si="8"/>
        <v/>
      </c>
      <c r="AK33" s="76" t="str">
        <f t="shared" ca="1" si="9"/>
        <v/>
      </c>
      <c r="AL33" s="33" t="str">
        <f t="shared" ca="1" si="18"/>
        <v/>
      </c>
      <c r="AM33" s="33" t="str">
        <f t="shared" ca="1" si="18"/>
        <v/>
      </c>
      <c r="AN33" s="33" t="str">
        <f t="shared" ca="1" si="18"/>
        <v/>
      </c>
      <c r="AO33" s="33" t="str">
        <f t="shared" ca="1" si="18"/>
        <v/>
      </c>
      <c r="AP33" s="33" t="str">
        <f t="shared" ca="1" si="18"/>
        <v/>
      </c>
      <c r="AQ33" s="33" t="str">
        <f t="shared" ca="1" si="18"/>
        <v/>
      </c>
      <c r="AR33" s="33" t="str">
        <f t="shared" ca="1" si="18"/>
        <v/>
      </c>
      <c r="AS33" s="33" t="str">
        <f t="shared" ref="AS33:BH83" ca="1" si="45">IF($A33="","",IF((COLUMN()-COLUMN($AL$9))&gt;($B$3-1),0,MAX(0.1,1+$D$3*(0.6*(2*MOD(ABS(SIN((COLUMN()-COLUMN($AL$9)+1)*12.9898+$B$2*0.0001))*43758.5453,1)-1)+0.4*SIN(($BV33+COLUMN()-COLUMN($AL$9))*2*PI()/7)))))</f>
        <v/>
      </c>
      <c r="AT33" s="33" t="str">
        <f t="shared" ca="1" si="45"/>
        <v/>
      </c>
      <c r="AU33" s="33" t="str">
        <f t="shared" ca="1" si="45"/>
        <v/>
      </c>
      <c r="AV33" s="33" t="str">
        <f t="shared" ca="1" si="45"/>
        <v/>
      </c>
      <c r="AW33" s="33" t="str">
        <f t="shared" ca="1" si="45"/>
        <v/>
      </c>
      <c r="AX33" s="33" t="str">
        <f t="shared" ca="1" si="45"/>
        <v/>
      </c>
      <c r="AY33" s="33" t="str">
        <f t="shared" ca="1" si="45"/>
        <v/>
      </c>
      <c r="AZ33" s="33" t="str">
        <f t="shared" ca="1" si="45"/>
        <v/>
      </c>
      <c r="BA33" s="33" t="str">
        <f t="shared" ca="1" si="45"/>
        <v/>
      </c>
      <c r="BB33" s="33" t="str">
        <f t="shared" ca="1" si="45"/>
        <v/>
      </c>
      <c r="BC33" s="33" t="str">
        <f t="shared" ca="1" si="45"/>
        <v/>
      </c>
      <c r="BD33" s="33" t="str">
        <f t="shared" ca="1" si="45"/>
        <v/>
      </c>
      <c r="BE33" s="33" t="str">
        <f t="shared" ca="1" si="45"/>
        <v/>
      </c>
      <c r="BF33" s="33" t="str">
        <f t="shared" ca="1" si="45"/>
        <v/>
      </c>
      <c r="BG33" s="33" t="str">
        <f t="shared" ca="1" si="45"/>
        <v/>
      </c>
      <c r="BH33" s="33" t="str">
        <f t="shared" ca="1" si="45"/>
        <v/>
      </c>
      <c r="BI33" s="33" t="str">
        <f t="shared" ca="1" si="29"/>
        <v/>
      </c>
      <c r="BJ33" s="33" t="str">
        <f t="shared" ca="1" si="29"/>
        <v/>
      </c>
      <c r="BK33" s="33" t="str">
        <f t="shared" ca="1" si="29"/>
        <v/>
      </c>
      <c r="BL33" s="33" t="str">
        <f t="shared" ca="1" si="29"/>
        <v/>
      </c>
      <c r="BM33" s="33" t="str">
        <f t="shared" ca="1" si="29"/>
        <v/>
      </c>
      <c r="BN33" s="33" t="str">
        <f t="shared" ca="1" si="29"/>
        <v/>
      </c>
      <c r="BO33" s="33" t="str">
        <f t="shared" ca="1" si="29"/>
        <v/>
      </c>
      <c r="BP33" s="33" t="str">
        <f t="shared" ca="1" si="11"/>
        <v/>
      </c>
      <c r="BQ33" s="78" t="str">
        <f t="shared" ca="1" si="12"/>
        <v/>
      </c>
      <c r="BR33" s="78" t="str">
        <f t="shared" ca="1" si="13"/>
        <v/>
      </c>
      <c r="BS33" s="78" t="str">
        <f t="shared" ca="1" si="14"/>
        <v/>
      </c>
      <c r="BT33" s="78" t="str">
        <f t="shared" ca="1" si="19"/>
        <v/>
      </c>
      <c r="BU33" s="78" t="str">
        <f t="shared" ca="1" si="15"/>
        <v/>
      </c>
      <c r="BV33" s="78" t="str">
        <f t="shared" ca="1" si="16"/>
        <v/>
      </c>
    </row>
    <row r="34" spans="1:74" ht="15.75" customHeight="1" x14ac:dyDescent="0.25">
      <c r="A34" s="71" t="str">
        <f ca="1">IFERROR(__xludf.DUMMYFUNCTION("IFERROR(INDEX(FILTER(T4.2026!$A$2:$A$1000, T4.2026!$A$2:$A$1000&lt;&gt;""""), ROWS($A$9:A34)), """")"),"")</f>
        <v/>
      </c>
      <c r="B34" s="72" t="str">
        <f t="array" aca="1" ref="B34" ca="1">IF($A34="","",IFERROR(_xlfn.XLOOKUP($A34,'T4.2026'!$A$2:$A$1000,'T4.2026'!$B$2:$B$1000),""))</f>
        <v/>
      </c>
      <c r="C34" s="71" t="str">
        <f t="array" aca="1" ref="C34" ca="1">IF($A34="","",IFERROR(_xlfn.XLOOKUP($A34,'T4.2026'!$A$2:$A$1000,'T4.2026'!$C$2:$C$1000),""))</f>
        <v/>
      </c>
      <c r="D34" s="73" t="str">
        <f t="array" aca="1" ref="D34" ca="1">IF($A34="","",ROUND(IFERROR(_xlfn.XLOOKUP($A34,'T4.2026'!$A$2:$A$1000,'T4.2026'!$D$2:$D$1000),0),0))</f>
        <v/>
      </c>
      <c r="E34" s="73" t="str">
        <f t="array" aca="1" ref="E34" ca="1">IF($A34="","",IFERROR(_xlfn.XLOOKUP($A34,'T4.2026'!$A$2:$A$1000,'T4.2026'!$E$2:$E$1000),0))</f>
        <v/>
      </c>
      <c r="F34" s="75" t="str">
        <f t="shared" ca="1" si="6"/>
        <v/>
      </c>
      <c r="G34" s="75" t="str">
        <f t="shared" ref="G34:AI34" ca="1" si="46">IF($A34="","",IF(G$8=0,"",IF(SUM($AL34:$BO34)=0,0,ROUND($BU34*SUM($AL34:AM34)/SUM($AL34:$BO34),0)-ROUND($BU34*SUM($AL34:AL34)/SUM($AL34:$BO34),0))))</f>
        <v/>
      </c>
      <c r="H34" s="75" t="str">
        <f t="shared" ca="1" si="46"/>
        <v/>
      </c>
      <c r="I34" s="75" t="str">
        <f t="shared" ca="1" si="46"/>
        <v/>
      </c>
      <c r="J34" s="75" t="str">
        <f t="shared" ca="1" si="46"/>
        <v/>
      </c>
      <c r="K34" s="75" t="str">
        <f t="shared" ca="1" si="46"/>
        <v/>
      </c>
      <c r="L34" s="75" t="str">
        <f t="shared" ca="1" si="46"/>
        <v/>
      </c>
      <c r="M34" s="75" t="str">
        <f t="shared" ca="1" si="46"/>
        <v/>
      </c>
      <c r="N34" s="75" t="str">
        <f t="shared" ca="1" si="46"/>
        <v/>
      </c>
      <c r="O34" s="75" t="str">
        <f t="shared" ca="1" si="46"/>
        <v/>
      </c>
      <c r="P34" s="75" t="str">
        <f t="shared" ca="1" si="46"/>
        <v/>
      </c>
      <c r="Q34" s="75" t="str">
        <f t="shared" ca="1" si="46"/>
        <v/>
      </c>
      <c r="R34" s="75" t="str">
        <f t="shared" ca="1" si="46"/>
        <v/>
      </c>
      <c r="S34" s="75" t="str">
        <f t="shared" ca="1" si="46"/>
        <v/>
      </c>
      <c r="T34" s="75" t="str">
        <f t="shared" ca="1" si="46"/>
        <v/>
      </c>
      <c r="U34" s="75" t="str">
        <f t="shared" ca="1" si="46"/>
        <v/>
      </c>
      <c r="V34" s="75" t="str">
        <f t="shared" ca="1" si="46"/>
        <v/>
      </c>
      <c r="W34" s="75" t="str">
        <f t="shared" ca="1" si="46"/>
        <v/>
      </c>
      <c r="X34" s="75" t="str">
        <f t="shared" ca="1" si="46"/>
        <v/>
      </c>
      <c r="Y34" s="75" t="str">
        <f t="shared" ca="1" si="46"/>
        <v/>
      </c>
      <c r="Z34" s="75" t="str">
        <f t="shared" ca="1" si="46"/>
        <v/>
      </c>
      <c r="AA34" s="75" t="str">
        <f t="shared" ca="1" si="46"/>
        <v/>
      </c>
      <c r="AB34" s="75" t="str">
        <f t="shared" ca="1" si="46"/>
        <v/>
      </c>
      <c r="AC34" s="75" t="str">
        <f t="shared" ca="1" si="46"/>
        <v/>
      </c>
      <c r="AD34" s="75" t="str">
        <f t="shared" ca="1" si="46"/>
        <v/>
      </c>
      <c r="AE34" s="75" t="str">
        <f t="shared" ca="1" si="46"/>
        <v/>
      </c>
      <c r="AF34" s="75" t="str">
        <f t="shared" ca="1" si="46"/>
        <v/>
      </c>
      <c r="AG34" s="75" t="str">
        <f t="shared" ca="1" si="46"/>
        <v/>
      </c>
      <c r="AH34" s="75" t="str">
        <f t="shared" ca="1" si="46"/>
        <v/>
      </c>
      <c r="AI34" s="75" t="str">
        <f t="shared" ca="1" si="46"/>
        <v/>
      </c>
      <c r="AJ34" s="76" t="str">
        <f t="shared" ca="1" si="8"/>
        <v/>
      </c>
      <c r="AK34" s="76" t="str">
        <f t="shared" ca="1" si="9"/>
        <v/>
      </c>
      <c r="AL34" s="33" t="str">
        <f t="shared" ref="AL34:BA65" ca="1" si="47">IF($A34="","",IF((COLUMN()-COLUMN($AL$9))&gt;($B$3-1),0,MAX(0.1,1+$D$3*(0.6*(2*MOD(ABS(SIN((COLUMN()-COLUMN($AL$9)+1)*12.9898+$B$2*0.0001))*43758.5453,1)-1)+0.4*SIN(($BV34+COLUMN()-COLUMN($AL$9))*2*PI()/7)))))</f>
        <v/>
      </c>
      <c r="AM34" s="33" t="str">
        <f t="shared" ca="1" si="47"/>
        <v/>
      </c>
      <c r="AN34" s="33" t="str">
        <f t="shared" ca="1" si="47"/>
        <v/>
      </c>
      <c r="AO34" s="33" t="str">
        <f t="shared" ca="1" si="47"/>
        <v/>
      </c>
      <c r="AP34" s="33" t="str">
        <f t="shared" ca="1" si="47"/>
        <v/>
      </c>
      <c r="AQ34" s="33" t="str">
        <f t="shared" ca="1" si="47"/>
        <v/>
      </c>
      <c r="AR34" s="33" t="str">
        <f t="shared" ca="1" si="47"/>
        <v/>
      </c>
      <c r="AS34" s="33" t="str">
        <f t="shared" ca="1" si="47"/>
        <v/>
      </c>
      <c r="AT34" s="33" t="str">
        <f t="shared" ca="1" si="47"/>
        <v/>
      </c>
      <c r="AU34" s="33" t="str">
        <f t="shared" ca="1" si="47"/>
        <v/>
      </c>
      <c r="AV34" s="33" t="str">
        <f t="shared" ca="1" si="47"/>
        <v/>
      </c>
      <c r="AW34" s="33" t="str">
        <f t="shared" ca="1" si="47"/>
        <v/>
      </c>
      <c r="AX34" s="33" t="str">
        <f t="shared" ca="1" si="47"/>
        <v/>
      </c>
      <c r="AY34" s="33" t="str">
        <f t="shared" ca="1" si="47"/>
        <v/>
      </c>
      <c r="AZ34" s="33" t="str">
        <f t="shared" ca="1" si="47"/>
        <v/>
      </c>
      <c r="BA34" s="33" t="str">
        <f t="shared" ca="1" si="47"/>
        <v/>
      </c>
      <c r="BB34" s="33" t="str">
        <f t="shared" ca="1" si="45"/>
        <v/>
      </c>
      <c r="BC34" s="33" t="str">
        <f t="shared" ca="1" si="45"/>
        <v/>
      </c>
      <c r="BD34" s="33" t="str">
        <f t="shared" ca="1" si="45"/>
        <v/>
      </c>
      <c r="BE34" s="33" t="str">
        <f t="shared" ca="1" si="45"/>
        <v/>
      </c>
      <c r="BF34" s="33" t="str">
        <f t="shared" ca="1" si="45"/>
        <v/>
      </c>
      <c r="BG34" s="33" t="str">
        <f t="shared" ca="1" si="45"/>
        <v/>
      </c>
      <c r="BH34" s="33" t="str">
        <f t="shared" ca="1" si="45"/>
        <v/>
      </c>
      <c r="BI34" s="33" t="str">
        <f t="shared" ca="1" si="29"/>
        <v/>
      </c>
      <c r="BJ34" s="33" t="str">
        <f t="shared" ca="1" si="29"/>
        <v/>
      </c>
      <c r="BK34" s="33" t="str">
        <f t="shared" ca="1" si="29"/>
        <v/>
      </c>
      <c r="BL34" s="33" t="str">
        <f t="shared" ca="1" si="29"/>
        <v/>
      </c>
      <c r="BM34" s="33" t="str">
        <f t="shared" ca="1" si="29"/>
        <v/>
      </c>
      <c r="BN34" s="33" t="str">
        <f t="shared" ca="1" si="29"/>
        <v/>
      </c>
      <c r="BO34" s="33" t="str">
        <f t="shared" ca="1" si="29"/>
        <v/>
      </c>
      <c r="BP34" s="33" t="str">
        <f t="shared" ca="1" si="11"/>
        <v/>
      </c>
      <c r="BQ34" s="78" t="str">
        <f t="shared" ca="1" si="12"/>
        <v/>
      </c>
      <c r="BR34" s="78" t="str">
        <f t="shared" ca="1" si="13"/>
        <v/>
      </c>
      <c r="BS34" s="78" t="str">
        <f t="shared" ca="1" si="14"/>
        <v/>
      </c>
      <c r="BT34" s="78" t="str">
        <f t="shared" ca="1" si="19"/>
        <v/>
      </c>
      <c r="BU34" s="78" t="str">
        <f t="shared" ca="1" si="15"/>
        <v/>
      </c>
      <c r="BV34" s="78" t="str">
        <f t="shared" ca="1" si="16"/>
        <v/>
      </c>
    </row>
    <row r="35" spans="1:74" ht="15.75" customHeight="1" x14ac:dyDescent="0.25">
      <c r="A35" s="71" t="str">
        <f ca="1">IFERROR(__xludf.DUMMYFUNCTION("IFERROR(INDEX(FILTER(T4.2026!$A$2:$A$1000, T4.2026!$A$2:$A$1000&lt;&gt;""""), ROWS($A$9:A35)), """")"),"")</f>
        <v/>
      </c>
      <c r="B35" s="72" t="str">
        <f t="array" aca="1" ref="B35" ca="1">IF($A35="","",IFERROR(_xlfn.XLOOKUP($A35,'T4.2026'!$A$2:$A$1000,'T4.2026'!$B$2:$B$1000),""))</f>
        <v/>
      </c>
      <c r="C35" s="71" t="str">
        <f t="array" aca="1" ref="C35" ca="1">IF($A35="","",IFERROR(_xlfn.XLOOKUP($A35,'T4.2026'!$A$2:$A$1000,'T4.2026'!$C$2:$C$1000),""))</f>
        <v/>
      </c>
      <c r="D35" s="73" t="str">
        <f t="array" aca="1" ref="D35" ca="1">IF($A35="","",ROUND(IFERROR(_xlfn.XLOOKUP($A35,'T4.2026'!$A$2:$A$1000,'T4.2026'!$D$2:$D$1000),0),0))</f>
        <v/>
      </c>
      <c r="E35" s="73" t="str">
        <f t="array" aca="1" ref="E35" ca="1">IF($A35="","",IFERROR(_xlfn.XLOOKUP($A35,'T4.2026'!$A$2:$A$1000,'T4.2026'!$E$2:$E$1000),0))</f>
        <v/>
      </c>
      <c r="F35" s="75" t="str">
        <f t="shared" ca="1" si="6"/>
        <v/>
      </c>
      <c r="G35" s="75" t="str">
        <f t="shared" ref="G35:AI35" ca="1" si="48">IF($A35="","",IF(G$8=0,"",IF(SUM($AL35:$BO35)=0,0,ROUND($BU35*SUM($AL35:AM35)/SUM($AL35:$BO35),0)-ROUND($BU35*SUM($AL35:AL35)/SUM($AL35:$BO35),0))))</f>
        <v/>
      </c>
      <c r="H35" s="75" t="str">
        <f t="shared" ca="1" si="48"/>
        <v/>
      </c>
      <c r="I35" s="75" t="str">
        <f t="shared" ca="1" si="48"/>
        <v/>
      </c>
      <c r="J35" s="75" t="str">
        <f t="shared" ca="1" si="48"/>
        <v/>
      </c>
      <c r="K35" s="75" t="str">
        <f t="shared" ca="1" si="48"/>
        <v/>
      </c>
      <c r="L35" s="75" t="str">
        <f t="shared" ca="1" si="48"/>
        <v/>
      </c>
      <c r="M35" s="75" t="str">
        <f t="shared" ca="1" si="48"/>
        <v/>
      </c>
      <c r="N35" s="75" t="str">
        <f t="shared" ca="1" si="48"/>
        <v/>
      </c>
      <c r="O35" s="75" t="str">
        <f t="shared" ca="1" si="48"/>
        <v/>
      </c>
      <c r="P35" s="75" t="str">
        <f t="shared" ca="1" si="48"/>
        <v/>
      </c>
      <c r="Q35" s="75" t="str">
        <f t="shared" ca="1" si="48"/>
        <v/>
      </c>
      <c r="R35" s="75" t="str">
        <f t="shared" ca="1" si="48"/>
        <v/>
      </c>
      <c r="S35" s="75" t="str">
        <f t="shared" ca="1" si="48"/>
        <v/>
      </c>
      <c r="T35" s="75" t="str">
        <f t="shared" ca="1" si="48"/>
        <v/>
      </c>
      <c r="U35" s="75" t="str">
        <f t="shared" ca="1" si="48"/>
        <v/>
      </c>
      <c r="V35" s="75" t="str">
        <f t="shared" ca="1" si="48"/>
        <v/>
      </c>
      <c r="W35" s="75" t="str">
        <f t="shared" ca="1" si="48"/>
        <v/>
      </c>
      <c r="X35" s="75" t="str">
        <f t="shared" ca="1" si="48"/>
        <v/>
      </c>
      <c r="Y35" s="75" t="str">
        <f t="shared" ca="1" si="48"/>
        <v/>
      </c>
      <c r="Z35" s="75" t="str">
        <f t="shared" ca="1" si="48"/>
        <v/>
      </c>
      <c r="AA35" s="75" t="str">
        <f t="shared" ca="1" si="48"/>
        <v/>
      </c>
      <c r="AB35" s="75" t="str">
        <f t="shared" ca="1" si="48"/>
        <v/>
      </c>
      <c r="AC35" s="75" t="str">
        <f t="shared" ca="1" si="48"/>
        <v/>
      </c>
      <c r="AD35" s="75" t="str">
        <f t="shared" ca="1" si="48"/>
        <v/>
      </c>
      <c r="AE35" s="75" t="str">
        <f t="shared" ca="1" si="48"/>
        <v/>
      </c>
      <c r="AF35" s="75" t="str">
        <f t="shared" ca="1" si="48"/>
        <v/>
      </c>
      <c r="AG35" s="75" t="str">
        <f t="shared" ca="1" si="48"/>
        <v/>
      </c>
      <c r="AH35" s="75" t="str">
        <f t="shared" ca="1" si="48"/>
        <v/>
      </c>
      <c r="AI35" s="75" t="str">
        <f t="shared" ca="1" si="48"/>
        <v/>
      </c>
      <c r="AJ35" s="76" t="str">
        <f t="shared" ca="1" si="8"/>
        <v/>
      </c>
      <c r="AK35" s="76" t="str">
        <f t="shared" ca="1" si="9"/>
        <v/>
      </c>
      <c r="AL35" s="33" t="str">
        <f t="shared" ca="1" si="47"/>
        <v/>
      </c>
      <c r="AM35" s="33" t="str">
        <f t="shared" ca="1" si="47"/>
        <v/>
      </c>
      <c r="AN35" s="33" t="str">
        <f t="shared" ca="1" si="47"/>
        <v/>
      </c>
      <c r="AO35" s="33" t="str">
        <f t="shared" ca="1" si="47"/>
        <v/>
      </c>
      <c r="AP35" s="33" t="str">
        <f t="shared" ca="1" si="47"/>
        <v/>
      </c>
      <c r="AQ35" s="33" t="str">
        <f t="shared" ca="1" si="47"/>
        <v/>
      </c>
      <c r="AR35" s="33" t="str">
        <f t="shared" ca="1" si="47"/>
        <v/>
      </c>
      <c r="AS35" s="33" t="str">
        <f t="shared" ca="1" si="47"/>
        <v/>
      </c>
      <c r="AT35" s="33" t="str">
        <f t="shared" ca="1" si="47"/>
        <v/>
      </c>
      <c r="AU35" s="33" t="str">
        <f t="shared" ca="1" si="47"/>
        <v/>
      </c>
      <c r="AV35" s="33" t="str">
        <f t="shared" ca="1" si="47"/>
        <v/>
      </c>
      <c r="AW35" s="33" t="str">
        <f t="shared" ca="1" si="47"/>
        <v/>
      </c>
      <c r="AX35" s="33" t="str">
        <f t="shared" ca="1" si="47"/>
        <v/>
      </c>
      <c r="AY35" s="33" t="str">
        <f t="shared" ca="1" si="47"/>
        <v/>
      </c>
      <c r="AZ35" s="33" t="str">
        <f t="shared" ca="1" si="47"/>
        <v/>
      </c>
      <c r="BA35" s="33" t="str">
        <f t="shared" ca="1" si="47"/>
        <v/>
      </c>
      <c r="BB35" s="33" t="str">
        <f t="shared" ca="1" si="45"/>
        <v/>
      </c>
      <c r="BC35" s="33" t="str">
        <f t="shared" ca="1" si="45"/>
        <v/>
      </c>
      <c r="BD35" s="33" t="str">
        <f t="shared" ca="1" si="45"/>
        <v/>
      </c>
      <c r="BE35" s="33" t="str">
        <f t="shared" ca="1" si="45"/>
        <v/>
      </c>
      <c r="BF35" s="33" t="str">
        <f t="shared" ca="1" si="45"/>
        <v/>
      </c>
      <c r="BG35" s="33" t="str">
        <f t="shared" ca="1" si="45"/>
        <v/>
      </c>
      <c r="BH35" s="33" t="str">
        <f t="shared" ca="1" si="45"/>
        <v/>
      </c>
      <c r="BI35" s="33" t="str">
        <f t="shared" ca="1" si="29"/>
        <v/>
      </c>
      <c r="BJ35" s="33" t="str">
        <f t="shared" ca="1" si="29"/>
        <v/>
      </c>
      <c r="BK35" s="33" t="str">
        <f t="shared" ca="1" si="29"/>
        <v/>
      </c>
      <c r="BL35" s="33" t="str">
        <f t="shared" ca="1" si="29"/>
        <v/>
      </c>
      <c r="BM35" s="33" t="str">
        <f t="shared" ca="1" si="29"/>
        <v/>
      </c>
      <c r="BN35" s="33" t="str">
        <f t="shared" ca="1" si="29"/>
        <v/>
      </c>
      <c r="BO35" s="33" t="str">
        <f t="shared" ca="1" si="29"/>
        <v/>
      </c>
      <c r="BP35" s="33" t="str">
        <f t="shared" ca="1" si="11"/>
        <v/>
      </c>
      <c r="BQ35" s="78" t="str">
        <f t="shared" ca="1" si="12"/>
        <v/>
      </c>
      <c r="BR35" s="78" t="str">
        <f t="shared" ca="1" si="13"/>
        <v/>
      </c>
      <c r="BS35" s="78" t="str">
        <f t="shared" ca="1" si="14"/>
        <v/>
      </c>
      <c r="BT35" s="78" t="str">
        <f t="shared" ca="1" si="19"/>
        <v/>
      </c>
      <c r="BU35" s="78" t="str">
        <f t="shared" ca="1" si="15"/>
        <v/>
      </c>
      <c r="BV35" s="78" t="str">
        <f t="shared" ca="1" si="16"/>
        <v/>
      </c>
    </row>
    <row r="36" spans="1:74" ht="15.75" customHeight="1" x14ac:dyDescent="0.25">
      <c r="A36" s="71" t="str">
        <f ca="1">IFERROR(__xludf.DUMMYFUNCTION("IFERROR(INDEX(FILTER(T4.2026!$A$2:$A$1000, T4.2026!$A$2:$A$1000&lt;&gt;""""), ROWS($A$9:A36)), """")"),"")</f>
        <v/>
      </c>
      <c r="B36" s="72" t="str">
        <f t="array" aca="1" ref="B36" ca="1">IF($A36="","",IFERROR(_xlfn.XLOOKUP($A36,'T4.2026'!$A$2:$A$1000,'T4.2026'!$B$2:$B$1000),""))</f>
        <v/>
      </c>
      <c r="C36" s="71" t="str">
        <f t="array" aca="1" ref="C36" ca="1">IF($A36="","",IFERROR(_xlfn.XLOOKUP($A36,'T4.2026'!$A$2:$A$1000,'T4.2026'!$C$2:$C$1000),""))</f>
        <v/>
      </c>
      <c r="D36" s="73" t="str">
        <f t="array" aca="1" ref="D36" ca="1">IF($A36="","",ROUND(IFERROR(_xlfn.XLOOKUP($A36,'T4.2026'!$A$2:$A$1000,'T4.2026'!$D$2:$D$1000),0),0))</f>
        <v/>
      </c>
      <c r="E36" s="73" t="str">
        <f t="array" aca="1" ref="E36" ca="1">IF($A36="","",IFERROR(_xlfn.XLOOKUP($A36,'T4.2026'!$A$2:$A$1000,'T4.2026'!$E$2:$E$1000),0))</f>
        <v/>
      </c>
      <c r="F36" s="75" t="str">
        <f t="shared" ca="1" si="6"/>
        <v/>
      </c>
      <c r="G36" s="75" t="str">
        <f t="shared" ref="G36:AI36" ca="1" si="49">IF($A36="","",IF(G$8=0,"",IF(SUM($AL36:$BO36)=0,0,ROUND($BU36*SUM($AL36:AM36)/SUM($AL36:$BO36),0)-ROUND($BU36*SUM($AL36:AL36)/SUM($AL36:$BO36),0))))</f>
        <v/>
      </c>
      <c r="H36" s="75" t="str">
        <f t="shared" ca="1" si="49"/>
        <v/>
      </c>
      <c r="I36" s="75" t="str">
        <f t="shared" ca="1" si="49"/>
        <v/>
      </c>
      <c r="J36" s="75" t="str">
        <f t="shared" ca="1" si="49"/>
        <v/>
      </c>
      <c r="K36" s="75" t="str">
        <f t="shared" ca="1" si="49"/>
        <v/>
      </c>
      <c r="L36" s="75" t="str">
        <f t="shared" ca="1" si="49"/>
        <v/>
      </c>
      <c r="M36" s="75" t="str">
        <f t="shared" ca="1" si="49"/>
        <v/>
      </c>
      <c r="N36" s="75" t="str">
        <f t="shared" ca="1" si="49"/>
        <v/>
      </c>
      <c r="O36" s="75" t="str">
        <f t="shared" ca="1" si="49"/>
        <v/>
      </c>
      <c r="P36" s="75" t="str">
        <f t="shared" ca="1" si="49"/>
        <v/>
      </c>
      <c r="Q36" s="75" t="str">
        <f t="shared" ca="1" si="49"/>
        <v/>
      </c>
      <c r="R36" s="75" t="str">
        <f t="shared" ca="1" si="49"/>
        <v/>
      </c>
      <c r="S36" s="75" t="str">
        <f t="shared" ca="1" si="49"/>
        <v/>
      </c>
      <c r="T36" s="75" t="str">
        <f t="shared" ca="1" si="49"/>
        <v/>
      </c>
      <c r="U36" s="75" t="str">
        <f t="shared" ca="1" si="49"/>
        <v/>
      </c>
      <c r="V36" s="75" t="str">
        <f t="shared" ca="1" si="49"/>
        <v/>
      </c>
      <c r="W36" s="75" t="str">
        <f t="shared" ca="1" si="49"/>
        <v/>
      </c>
      <c r="X36" s="75" t="str">
        <f t="shared" ca="1" si="49"/>
        <v/>
      </c>
      <c r="Y36" s="75" t="str">
        <f t="shared" ca="1" si="49"/>
        <v/>
      </c>
      <c r="Z36" s="75" t="str">
        <f t="shared" ca="1" si="49"/>
        <v/>
      </c>
      <c r="AA36" s="75" t="str">
        <f t="shared" ca="1" si="49"/>
        <v/>
      </c>
      <c r="AB36" s="75" t="str">
        <f t="shared" ca="1" si="49"/>
        <v/>
      </c>
      <c r="AC36" s="75" t="str">
        <f t="shared" ca="1" si="49"/>
        <v/>
      </c>
      <c r="AD36" s="75" t="str">
        <f t="shared" ca="1" si="49"/>
        <v/>
      </c>
      <c r="AE36" s="75" t="str">
        <f t="shared" ca="1" si="49"/>
        <v/>
      </c>
      <c r="AF36" s="75" t="str">
        <f t="shared" ca="1" si="49"/>
        <v/>
      </c>
      <c r="AG36" s="75" t="str">
        <f t="shared" ca="1" si="49"/>
        <v/>
      </c>
      <c r="AH36" s="75" t="str">
        <f t="shared" ca="1" si="49"/>
        <v/>
      </c>
      <c r="AI36" s="75" t="str">
        <f t="shared" ca="1" si="49"/>
        <v/>
      </c>
      <c r="AJ36" s="76" t="str">
        <f t="shared" ca="1" si="8"/>
        <v/>
      </c>
      <c r="AK36" s="76" t="str">
        <f t="shared" ca="1" si="9"/>
        <v/>
      </c>
      <c r="AL36" s="33" t="str">
        <f t="shared" ca="1" si="47"/>
        <v/>
      </c>
      <c r="AM36" s="33" t="str">
        <f t="shared" ca="1" si="47"/>
        <v/>
      </c>
      <c r="AN36" s="33" t="str">
        <f t="shared" ca="1" si="47"/>
        <v/>
      </c>
      <c r="AO36" s="33" t="str">
        <f t="shared" ca="1" si="47"/>
        <v/>
      </c>
      <c r="AP36" s="33" t="str">
        <f t="shared" ca="1" si="47"/>
        <v/>
      </c>
      <c r="AQ36" s="33" t="str">
        <f t="shared" ca="1" si="47"/>
        <v/>
      </c>
      <c r="AR36" s="33" t="str">
        <f t="shared" ca="1" si="47"/>
        <v/>
      </c>
      <c r="AS36" s="33" t="str">
        <f t="shared" ca="1" si="47"/>
        <v/>
      </c>
      <c r="AT36" s="33" t="str">
        <f t="shared" ca="1" si="47"/>
        <v/>
      </c>
      <c r="AU36" s="33" t="str">
        <f t="shared" ca="1" si="47"/>
        <v/>
      </c>
      <c r="AV36" s="33" t="str">
        <f t="shared" ca="1" si="47"/>
        <v/>
      </c>
      <c r="AW36" s="33" t="str">
        <f t="shared" ca="1" si="47"/>
        <v/>
      </c>
      <c r="AX36" s="33" t="str">
        <f t="shared" ca="1" si="47"/>
        <v/>
      </c>
      <c r="AY36" s="33" t="str">
        <f t="shared" ca="1" si="47"/>
        <v/>
      </c>
      <c r="AZ36" s="33" t="str">
        <f t="shared" ca="1" si="47"/>
        <v/>
      </c>
      <c r="BA36" s="33" t="str">
        <f t="shared" ca="1" si="47"/>
        <v/>
      </c>
      <c r="BB36" s="33" t="str">
        <f t="shared" ca="1" si="45"/>
        <v/>
      </c>
      <c r="BC36" s="33" t="str">
        <f t="shared" ca="1" si="45"/>
        <v/>
      </c>
      <c r="BD36" s="33" t="str">
        <f t="shared" ca="1" si="45"/>
        <v/>
      </c>
      <c r="BE36" s="33" t="str">
        <f t="shared" ca="1" si="45"/>
        <v/>
      </c>
      <c r="BF36" s="33" t="str">
        <f t="shared" ca="1" si="45"/>
        <v/>
      </c>
      <c r="BG36" s="33" t="str">
        <f t="shared" ca="1" si="45"/>
        <v/>
      </c>
      <c r="BH36" s="33" t="str">
        <f t="shared" ca="1" si="45"/>
        <v/>
      </c>
      <c r="BI36" s="33" t="str">
        <f t="shared" ca="1" si="29"/>
        <v/>
      </c>
      <c r="BJ36" s="33" t="str">
        <f t="shared" ca="1" si="29"/>
        <v/>
      </c>
      <c r="BK36" s="33" t="str">
        <f t="shared" ca="1" si="29"/>
        <v/>
      </c>
      <c r="BL36" s="33" t="str">
        <f t="shared" ca="1" si="29"/>
        <v/>
      </c>
      <c r="BM36" s="33" t="str">
        <f t="shared" ca="1" si="29"/>
        <v/>
      </c>
      <c r="BN36" s="33" t="str">
        <f t="shared" ca="1" si="29"/>
        <v/>
      </c>
      <c r="BO36" s="33" t="str">
        <f t="shared" ca="1" si="29"/>
        <v/>
      </c>
      <c r="BP36" s="33" t="str">
        <f t="shared" ca="1" si="11"/>
        <v/>
      </c>
      <c r="BQ36" s="78" t="str">
        <f t="shared" ca="1" si="12"/>
        <v/>
      </c>
      <c r="BR36" s="78" t="str">
        <f t="shared" ca="1" si="13"/>
        <v/>
      </c>
      <c r="BS36" s="78" t="str">
        <f t="shared" ca="1" si="14"/>
        <v/>
      </c>
      <c r="BT36" s="78" t="str">
        <f t="shared" ca="1" si="19"/>
        <v/>
      </c>
      <c r="BU36" s="78" t="str">
        <f t="shared" ca="1" si="15"/>
        <v/>
      </c>
      <c r="BV36" s="78" t="str">
        <f t="shared" ca="1" si="16"/>
        <v/>
      </c>
    </row>
    <row r="37" spans="1:74" ht="15.75" customHeight="1" x14ac:dyDescent="0.25">
      <c r="A37" s="71" t="str">
        <f ca="1">IFERROR(__xludf.DUMMYFUNCTION("IFERROR(INDEX(FILTER(T4.2026!$A$2:$A$1000, T4.2026!$A$2:$A$1000&lt;&gt;""""), ROWS($A$9:A37)), """")"),"")</f>
        <v/>
      </c>
      <c r="B37" s="72" t="str">
        <f t="array" aca="1" ref="B37" ca="1">IF($A37="","",IFERROR(_xlfn.XLOOKUP($A37,'T4.2026'!$A$2:$A$1000,'T4.2026'!$B$2:$B$1000),""))</f>
        <v/>
      </c>
      <c r="C37" s="71" t="str">
        <f t="array" aca="1" ref="C37" ca="1">IF($A37="","",IFERROR(_xlfn.XLOOKUP($A37,'T4.2026'!$A$2:$A$1000,'T4.2026'!$C$2:$C$1000),""))</f>
        <v/>
      </c>
      <c r="D37" s="73" t="str">
        <f t="array" aca="1" ref="D37" ca="1">IF($A37="","",ROUND(IFERROR(_xlfn.XLOOKUP($A37,'T4.2026'!$A$2:$A$1000,'T4.2026'!$D$2:$D$1000),0),0))</f>
        <v/>
      </c>
      <c r="E37" s="73" t="str">
        <f t="array" aca="1" ref="E37" ca="1">IF($A37="","",IFERROR(_xlfn.XLOOKUP($A37,'T4.2026'!$A$2:$A$1000,'T4.2026'!$E$2:$E$1000),0))</f>
        <v/>
      </c>
      <c r="F37" s="75" t="str">
        <f t="shared" ca="1" si="6"/>
        <v/>
      </c>
      <c r="G37" s="75" t="str">
        <f t="shared" ref="G37:AI37" ca="1" si="50">IF($A37="","",IF(G$8=0,"",IF(SUM($AL37:$BO37)=0,0,ROUND($BU37*SUM($AL37:AM37)/SUM($AL37:$BO37),0)-ROUND($BU37*SUM($AL37:AL37)/SUM($AL37:$BO37),0))))</f>
        <v/>
      </c>
      <c r="H37" s="75" t="str">
        <f t="shared" ca="1" si="50"/>
        <v/>
      </c>
      <c r="I37" s="75" t="str">
        <f t="shared" ca="1" si="50"/>
        <v/>
      </c>
      <c r="J37" s="75" t="str">
        <f t="shared" ca="1" si="50"/>
        <v/>
      </c>
      <c r="K37" s="75" t="str">
        <f t="shared" ca="1" si="50"/>
        <v/>
      </c>
      <c r="L37" s="75" t="str">
        <f t="shared" ca="1" si="50"/>
        <v/>
      </c>
      <c r="M37" s="75" t="str">
        <f t="shared" ca="1" si="50"/>
        <v/>
      </c>
      <c r="N37" s="75" t="str">
        <f t="shared" ca="1" si="50"/>
        <v/>
      </c>
      <c r="O37" s="75" t="str">
        <f t="shared" ca="1" si="50"/>
        <v/>
      </c>
      <c r="P37" s="75" t="str">
        <f t="shared" ca="1" si="50"/>
        <v/>
      </c>
      <c r="Q37" s="75" t="str">
        <f t="shared" ca="1" si="50"/>
        <v/>
      </c>
      <c r="R37" s="75" t="str">
        <f t="shared" ca="1" si="50"/>
        <v/>
      </c>
      <c r="S37" s="75" t="str">
        <f t="shared" ca="1" si="50"/>
        <v/>
      </c>
      <c r="T37" s="75" t="str">
        <f t="shared" ca="1" si="50"/>
        <v/>
      </c>
      <c r="U37" s="75" t="str">
        <f t="shared" ca="1" si="50"/>
        <v/>
      </c>
      <c r="V37" s="75" t="str">
        <f t="shared" ca="1" si="50"/>
        <v/>
      </c>
      <c r="W37" s="75" t="str">
        <f t="shared" ca="1" si="50"/>
        <v/>
      </c>
      <c r="X37" s="75" t="str">
        <f t="shared" ca="1" si="50"/>
        <v/>
      </c>
      <c r="Y37" s="75" t="str">
        <f t="shared" ca="1" si="50"/>
        <v/>
      </c>
      <c r="Z37" s="75" t="str">
        <f t="shared" ca="1" si="50"/>
        <v/>
      </c>
      <c r="AA37" s="75" t="str">
        <f t="shared" ca="1" si="50"/>
        <v/>
      </c>
      <c r="AB37" s="75" t="str">
        <f t="shared" ca="1" si="50"/>
        <v/>
      </c>
      <c r="AC37" s="75" t="str">
        <f t="shared" ca="1" si="50"/>
        <v/>
      </c>
      <c r="AD37" s="75" t="str">
        <f t="shared" ca="1" si="50"/>
        <v/>
      </c>
      <c r="AE37" s="75" t="str">
        <f t="shared" ca="1" si="50"/>
        <v/>
      </c>
      <c r="AF37" s="75" t="str">
        <f t="shared" ca="1" si="50"/>
        <v/>
      </c>
      <c r="AG37" s="75" t="str">
        <f t="shared" ca="1" si="50"/>
        <v/>
      </c>
      <c r="AH37" s="75" t="str">
        <f t="shared" ca="1" si="50"/>
        <v/>
      </c>
      <c r="AI37" s="75" t="str">
        <f t="shared" ca="1" si="50"/>
        <v/>
      </c>
      <c r="AJ37" s="76" t="str">
        <f t="shared" ca="1" si="8"/>
        <v/>
      </c>
      <c r="AK37" s="76" t="str">
        <f t="shared" ca="1" si="9"/>
        <v/>
      </c>
      <c r="AL37" s="33" t="str">
        <f t="shared" ca="1" si="47"/>
        <v/>
      </c>
      <c r="AM37" s="33" t="str">
        <f t="shared" ca="1" si="47"/>
        <v/>
      </c>
      <c r="AN37" s="33" t="str">
        <f t="shared" ca="1" si="47"/>
        <v/>
      </c>
      <c r="AO37" s="33" t="str">
        <f t="shared" ca="1" si="47"/>
        <v/>
      </c>
      <c r="AP37" s="33" t="str">
        <f t="shared" ca="1" si="47"/>
        <v/>
      </c>
      <c r="AQ37" s="33" t="str">
        <f t="shared" ca="1" si="47"/>
        <v/>
      </c>
      <c r="AR37" s="33" t="str">
        <f t="shared" ca="1" si="47"/>
        <v/>
      </c>
      <c r="AS37" s="33" t="str">
        <f t="shared" ca="1" si="47"/>
        <v/>
      </c>
      <c r="AT37" s="33" t="str">
        <f t="shared" ca="1" si="47"/>
        <v/>
      </c>
      <c r="AU37" s="33" t="str">
        <f t="shared" ca="1" si="47"/>
        <v/>
      </c>
      <c r="AV37" s="33" t="str">
        <f t="shared" ca="1" si="47"/>
        <v/>
      </c>
      <c r="AW37" s="33" t="str">
        <f t="shared" ca="1" si="47"/>
        <v/>
      </c>
      <c r="AX37" s="33" t="str">
        <f t="shared" ca="1" si="47"/>
        <v/>
      </c>
      <c r="AY37" s="33" t="str">
        <f t="shared" ca="1" si="47"/>
        <v/>
      </c>
      <c r="AZ37" s="33" t="str">
        <f t="shared" ca="1" si="47"/>
        <v/>
      </c>
      <c r="BA37" s="33" t="str">
        <f t="shared" ca="1" si="47"/>
        <v/>
      </c>
      <c r="BB37" s="33" t="str">
        <f t="shared" ca="1" si="45"/>
        <v/>
      </c>
      <c r="BC37" s="33" t="str">
        <f t="shared" ca="1" si="45"/>
        <v/>
      </c>
      <c r="BD37" s="33" t="str">
        <f t="shared" ca="1" si="45"/>
        <v/>
      </c>
      <c r="BE37" s="33" t="str">
        <f t="shared" ca="1" si="45"/>
        <v/>
      </c>
      <c r="BF37" s="33" t="str">
        <f t="shared" ca="1" si="45"/>
        <v/>
      </c>
      <c r="BG37" s="33" t="str">
        <f t="shared" ca="1" si="45"/>
        <v/>
      </c>
      <c r="BH37" s="33" t="str">
        <f t="shared" ca="1" si="45"/>
        <v/>
      </c>
      <c r="BI37" s="33" t="str">
        <f t="shared" ca="1" si="29"/>
        <v/>
      </c>
      <c r="BJ37" s="33" t="str">
        <f t="shared" ca="1" si="29"/>
        <v/>
      </c>
      <c r="BK37" s="33" t="str">
        <f t="shared" ca="1" si="29"/>
        <v/>
      </c>
      <c r="BL37" s="33" t="str">
        <f t="shared" ca="1" si="29"/>
        <v/>
      </c>
      <c r="BM37" s="33" t="str">
        <f t="shared" ca="1" si="29"/>
        <v/>
      </c>
      <c r="BN37" s="33" t="str">
        <f t="shared" ca="1" si="29"/>
        <v/>
      </c>
      <c r="BO37" s="33" t="str">
        <f t="shared" ca="1" si="29"/>
        <v/>
      </c>
      <c r="BP37" s="33" t="str">
        <f t="shared" ca="1" si="11"/>
        <v/>
      </c>
      <c r="BQ37" s="78" t="str">
        <f t="shared" ca="1" si="12"/>
        <v/>
      </c>
      <c r="BR37" s="78" t="str">
        <f t="shared" ca="1" si="13"/>
        <v/>
      </c>
      <c r="BS37" s="78" t="str">
        <f t="shared" ca="1" si="14"/>
        <v/>
      </c>
      <c r="BT37" s="78" t="str">
        <f t="shared" ca="1" si="19"/>
        <v/>
      </c>
      <c r="BU37" s="78" t="str">
        <f t="shared" ca="1" si="15"/>
        <v/>
      </c>
      <c r="BV37" s="78" t="str">
        <f t="shared" ca="1" si="16"/>
        <v/>
      </c>
    </row>
    <row r="38" spans="1:74" ht="15.75" customHeight="1" x14ac:dyDescent="0.25">
      <c r="A38" s="71" t="str">
        <f ca="1">IFERROR(__xludf.DUMMYFUNCTION("IFERROR(INDEX(FILTER(T4.2026!$A$2:$A$1000, T4.2026!$A$2:$A$1000&lt;&gt;""""), ROWS($A$9:A38)), """")"),"")</f>
        <v/>
      </c>
      <c r="B38" s="72" t="str">
        <f t="array" aca="1" ref="B38" ca="1">IF($A38="","",IFERROR(_xlfn.XLOOKUP($A38,'T4.2026'!$A$2:$A$1000,'T4.2026'!$B$2:$B$1000),""))</f>
        <v/>
      </c>
      <c r="C38" s="71" t="str">
        <f t="array" aca="1" ref="C38" ca="1">IF($A38="","",IFERROR(_xlfn.XLOOKUP($A38,'T4.2026'!$A$2:$A$1000,'T4.2026'!$C$2:$C$1000),""))</f>
        <v/>
      </c>
      <c r="D38" s="73" t="str">
        <f t="array" aca="1" ref="D38" ca="1">IF($A38="","",ROUND(IFERROR(_xlfn.XLOOKUP($A38,'T4.2026'!$A$2:$A$1000,'T4.2026'!$D$2:$D$1000),0),0))</f>
        <v/>
      </c>
      <c r="E38" s="73" t="str">
        <f t="array" aca="1" ref="E38" ca="1">IF($A38="","",IFERROR(_xlfn.XLOOKUP($A38,'T4.2026'!$A$2:$A$1000,'T4.2026'!$E$2:$E$1000),0))</f>
        <v/>
      </c>
      <c r="F38" s="75" t="str">
        <f t="shared" ca="1" si="6"/>
        <v/>
      </c>
      <c r="G38" s="75" t="str">
        <f t="shared" ref="G38:AI38" ca="1" si="51">IF($A38="","",IF(G$8=0,"",IF(SUM($AL38:$BO38)=0,0,ROUND($BU38*SUM($AL38:AM38)/SUM($AL38:$BO38),0)-ROUND($BU38*SUM($AL38:AL38)/SUM($AL38:$BO38),0))))</f>
        <v/>
      </c>
      <c r="H38" s="75" t="str">
        <f t="shared" ca="1" si="51"/>
        <v/>
      </c>
      <c r="I38" s="75" t="str">
        <f t="shared" ca="1" si="51"/>
        <v/>
      </c>
      <c r="J38" s="75" t="str">
        <f t="shared" ca="1" si="51"/>
        <v/>
      </c>
      <c r="K38" s="75" t="str">
        <f t="shared" ca="1" si="51"/>
        <v/>
      </c>
      <c r="L38" s="75" t="str">
        <f t="shared" ca="1" si="51"/>
        <v/>
      </c>
      <c r="M38" s="75" t="str">
        <f t="shared" ca="1" si="51"/>
        <v/>
      </c>
      <c r="N38" s="75" t="str">
        <f t="shared" ca="1" si="51"/>
        <v/>
      </c>
      <c r="O38" s="75" t="str">
        <f t="shared" ca="1" si="51"/>
        <v/>
      </c>
      <c r="P38" s="75" t="str">
        <f t="shared" ca="1" si="51"/>
        <v/>
      </c>
      <c r="Q38" s="75" t="str">
        <f t="shared" ca="1" si="51"/>
        <v/>
      </c>
      <c r="R38" s="75" t="str">
        <f t="shared" ca="1" si="51"/>
        <v/>
      </c>
      <c r="S38" s="75" t="str">
        <f t="shared" ca="1" si="51"/>
        <v/>
      </c>
      <c r="T38" s="75" t="str">
        <f t="shared" ca="1" si="51"/>
        <v/>
      </c>
      <c r="U38" s="75" t="str">
        <f t="shared" ca="1" si="51"/>
        <v/>
      </c>
      <c r="V38" s="75" t="str">
        <f t="shared" ca="1" si="51"/>
        <v/>
      </c>
      <c r="W38" s="75" t="str">
        <f t="shared" ca="1" si="51"/>
        <v/>
      </c>
      <c r="X38" s="75" t="str">
        <f t="shared" ca="1" si="51"/>
        <v/>
      </c>
      <c r="Y38" s="75" t="str">
        <f t="shared" ca="1" si="51"/>
        <v/>
      </c>
      <c r="Z38" s="75" t="str">
        <f t="shared" ca="1" si="51"/>
        <v/>
      </c>
      <c r="AA38" s="75" t="str">
        <f t="shared" ca="1" si="51"/>
        <v/>
      </c>
      <c r="AB38" s="75" t="str">
        <f t="shared" ca="1" si="51"/>
        <v/>
      </c>
      <c r="AC38" s="75" t="str">
        <f t="shared" ca="1" si="51"/>
        <v/>
      </c>
      <c r="AD38" s="75" t="str">
        <f t="shared" ca="1" si="51"/>
        <v/>
      </c>
      <c r="AE38" s="75" t="str">
        <f t="shared" ca="1" si="51"/>
        <v/>
      </c>
      <c r="AF38" s="75" t="str">
        <f t="shared" ca="1" si="51"/>
        <v/>
      </c>
      <c r="AG38" s="75" t="str">
        <f t="shared" ca="1" si="51"/>
        <v/>
      </c>
      <c r="AH38" s="75" t="str">
        <f t="shared" ca="1" si="51"/>
        <v/>
      </c>
      <c r="AI38" s="75" t="str">
        <f t="shared" ca="1" si="51"/>
        <v/>
      </c>
      <c r="AJ38" s="76" t="str">
        <f t="shared" ca="1" si="8"/>
        <v/>
      </c>
      <c r="AK38" s="76" t="str">
        <f t="shared" ca="1" si="9"/>
        <v/>
      </c>
      <c r="AL38" s="33" t="str">
        <f t="shared" ca="1" si="47"/>
        <v/>
      </c>
      <c r="AM38" s="33" t="str">
        <f t="shared" ca="1" si="47"/>
        <v/>
      </c>
      <c r="AN38" s="33" t="str">
        <f t="shared" ca="1" si="47"/>
        <v/>
      </c>
      <c r="AO38" s="33" t="str">
        <f t="shared" ca="1" si="47"/>
        <v/>
      </c>
      <c r="AP38" s="33" t="str">
        <f t="shared" ca="1" si="47"/>
        <v/>
      </c>
      <c r="AQ38" s="33" t="str">
        <f t="shared" ca="1" si="47"/>
        <v/>
      </c>
      <c r="AR38" s="33" t="str">
        <f t="shared" ca="1" si="47"/>
        <v/>
      </c>
      <c r="AS38" s="33" t="str">
        <f t="shared" ca="1" si="47"/>
        <v/>
      </c>
      <c r="AT38" s="33" t="str">
        <f t="shared" ca="1" si="47"/>
        <v/>
      </c>
      <c r="AU38" s="33" t="str">
        <f t="shared" ca="1" si="47"/>
        <v/>
      </c>
      <c r="AV38" s="33" t="str">
        <f t="shared" ca="1" si="47"/>
        <v/>
      </c>
      <c r="AW38" s="33" t="str">
        <f t="shared" ca="1" si="47"/>
        <v/>
      </c>
      <c r="AX38" s="33" t="str">
        <f t="shared" ca="1" si="47"/>
        <v/>
      </c>
      <c r="AY38" s="33" t="str">
        <f t="shared" ca="1" si="47"/>
        <v/>
      </c>
      <c r="AZ38" s="33" t="str">
        <f t="shared" ca="1" si="47"/>
        <v/>
      </c>
      <c r="BA38" s="33" t="str">
        <f t="shared" ca="1" si="47"/>
        <v/>
      </c>
      <c r="BB38" s="33" t="str">
        <f t="shared" ca="1" si="45"/>
        <v/>
      </c>
      <c r="BC38" s="33" t="str">
        <f t="shared" ca="1" si="45"/>
        <v/>
      </c>
      <c r="BD38" s="33" t="str">
        <f t="shared" ca="1" si="45"/>
        <v/>
      </c>
      <c r="BE38" s="33" t="str">
        <f t="shared" ca="1" si="45"/>
        <v/>
      </c>
      <c r="BF38" s="33" t="str">
        <f t="shared" ca="1" si="45"/>
        <v/>
      </c>
      <c r="BG38" s="33" t="str">
        <f t="shared" ca="1" si="45"/>
        <v/>
      </c>
      <c r="BH38" s="33" t="str">
        <f t="shared" ca="1" si="45"/>
        <v/>
      </c>
      <c r="BI38" s="33" t="str">
        <f t="shared" ca="1" si="29"/>
        <v/>
      </c>
      <c r="BJ38" s="33" t="str">
        <f t="shared" ca="1" si="29"/>
        <v/>
      </c>
      <c r="BK38" s="33" t="str">
        <f t="shared" ca="1" si="29"/>
        <v/>
      </c>
      <c r="BL38" s="33" t="str">
        <f t="shared" ca="1" si="29"/>
        <v/>
      </c>
      <c r="BM38" s="33" t="str">
        <f t="shared" ca="1" si="29"/>
        <v/>
      </c>
      <c r="BN38" s="33" t="str">
        <f t="shared" ca="1" si="29"/>
        <v/>
      </c>
      <c r="BO38" s="33" t="str">
        <f t="shared" ca="1" si="29"/>
        <v/>
      </c>
      <c r="BP38" s="33" t="str">
        <f t="shared" ca="1" si="11"/>
        <v/>
      </c>
      <c r="BQ38" s="78" t="str">
        <f t="shared" ca="1" si="12"/>
        <v/>
      </c>
      <c r="BR38" s="78" t="str">
        <f t="shared" ca="1" si="13"/>
        <v/>
      </c>
      <c r="BS38" s="78" t="str">
        <f t="shared" ca="1" si="14"/>
        <v/>
      </c>
      <c r="BT38" s="78" t="str">
        <f t="shared" ca="1" si="19"/>
        <v/>
      </c>
      <c r="BU38" s="78" t="str">
        <f t="shared" ca="1" si="15"/>
        <v/>
      </c>
      <c r="BV38" s="78" t="str">
        <f t="shared" ca="1" si="16"/>
        <v/>
      </c>
    </row>
    <row r="39" spans="1:74" ht="15.75" customHeight="1" x14ac:dyDescent="0.25">
      <c r="A39" s="71" t="str">
        <f ca="1">IFERROR(__xludf.DUMMYFUNCTION("IFERROR(INDEX(FILTER(T4.2026!$A$2:$A$1000, T4.2026!$A$2:$A$1000&lt;&gt;""""), ROWS($A$9:A39)), """")"),"")</f>
        <v/>
      </c>
      <c r="B39" s="72" t="str">
        <f t="array" aca="1" ref="B39" ca="1">IF($A39="","",IFERROR(_xlfn.XLOOKUP($A39,'T4.2026'!$A$2:$A$1000,'T4.2026'!$B$2:$B$1000),""))</f>
        <v/>
      </c>
      <c r="C39" s="71" t="str">
        <f t="array" aca="1" ref="C39" ca="1">IF($A39="","",IFERROR(_xlfn.XLOOKUP($A39,'T4.2026'!$A$2:$A$1000,'T4.2026'!$C$2:$C$1000),""))</f>
        <v/>
      </c>
      <c r="D39" s="73" t="str">
        <f t="array" aca="1" ref="D39" ca="1">IF($A39="","",ROUND(IFERROR(_xlfn.XLOOKUP($A39,'T4.2026'!$A$2:$A$1000,'T4.2026'!$D$2:$D$1000),0),0))</f>
        <v/>
      </c>
      <c r="E39" s="73" t="str">
        <f t="array" aca="1" ref="E39" ca="1">IF($A39="","",IFERROR(_xlfn.XLOOKUP($A39,'T4.2026'!$A$2:$A$1000,'T4.2026'!$E$2:$E$1000),0))</f>
        <v/>
      </c>
      <c r="F39" s="75" t="str">
        <f t="shared" ca="1" si="6"/>
        <v/>
      </c>
      <c r="G39" s="75" t="str">
        <f t="shared" ref="G39:AI39" ca="1" si="52">IF($A39="","",IF(G$8=0,"",IF(SUM($AL39:$BO39)=0,0,ROUND($BU39*SUM($AL39:AM39)/SUM($AL39:$BO39),0)-ROUND($BU39*SUM($AL39:AL39)/SUM($AL39:$BO39),0))))</f>
        <v/>
      </c>
      <c r="H39" s="75" t="str">
        <f t="shared" ca="1" si="52"/>
        <v/>
      </c>
      <c r="I39" s="75" t="str">
        <f t="shared" ca="1" si="52"/>
        <v/>
      </c>
      <c r="J39" s="75" t="str">
        <f t="shared" ca="1" si="52"/>
        <v/>
      </c>
      <c r="K39" s="75" t="str">
        <f t="shared" ca="1" si="52"/>
        <v/>
      </c>
      <c r="L39" s="75" t="str">
        <f t="shared" ca="1" si="52"/>
        <v/>
      </c>
      <c r="M39" s="75" t="str">
        <f t="shared" ca="1" si="52"/>
        <v/>
      </c>
      <c r="N39" s="75" t="str">
        <f t="shared" ca="1" si="52"/>
        <v/>
      </c>
      <c r="O39" s="75" t="str">
        <f t="shared" ca="1" si="52"/>
        <v/>
      </c>
      <c r="P39" s="75" t="str">
        <f t="shared" ca="1" si="52"/>
        <v/>
      </c>
      <c r="Q39" s="75" t="str">
        <f t="shared" ca="1" si="52"/>
        <v/>
      </c>
      <c r="R39" s="75" t="str">
        <f t="shared" ca="1" si="52"/>
        <v/>
      </c>
      <c r="S39" s="75" t="str">
        <f t="shared" ca="1" si="52"/>
        <v/>
      </c>
      <c r="T39" s="75" t="str">
        <f t="shared" ca="1" si="52"/>
        <v/>
      </c>
      <c r="U39" s="75" t="str">
        <f t="shared" ca="1" si="52"/>
        <v/>
      </c>
      <c r="V39" s="75" t="str">
        <f t="shared" ca="1" si="52"/>
        <v/>
      </c>
      <c r="W39" s="75" t="str">
        <f t="shared" ca="1" si="52"/>
        <v/>
      </c>
      <c r="X39" s="75" t="str">
        <f t="shared" ca="1" si="52"/>
        <v/>
      </c>
      <c r="Y39" s="75" t="str">
        <f t="shared" ca="1" si="52"/>
        <v/>
      </c>
      <c r="Z39" s="75" t="str">
        <f t="shared" ca="1" si="52"/>
        <v/>
      </c>
      <c r="AA39" s="75" t="str">
        <f t="shared" ca="1" si="52"/>
        <v/>
      </c>
      <c r="AB39" s="75" t="str">
        <f t="shared" ca="1" si="52"/>
        <v/>
      </c>
      <c r="AC39" s="75" t="str">
        <f t="shared" ca="1" si="52"/>
        <v/>
      </c>
      <c r="AD39" s="75" t="str">
        <f t="shared" ca="1" si="52"/>
        <v/>
      </c>
      <c r="AE39" s="75" t="str">
        <f t="shared" ca="1" si="52"/>
        <v/>
      </c>
      <c r="AF39" s="75" t="str">
        <f t="shared" ca="1" si="52"/>
        <v/>
      </c>
      <c r="AG39" s="75" t="str">
        <f t="shared" ca="1" si="52"/>
        <v/>
      </c>
      <c r="AH39" s="75" t="str">
        <f t="shared" ca="1" si="52"/>
        <v/>
      </c>
      <c r="AI39" s="75" t="str">
        <f t="shared" ca="1" si="52"/>
        <v/>
      </c>
      <c r="AJ39" s="76" t="str">
        <f t="shared" ca="1" si="8"/>
        <v/>
      </c>
      <c r="AK39" s="76" t="str">
        <f t="shared" ca="1" si="9"/>
        <v/>
      </c>
      <c r="AL39" s="33" t="str">
        <f t="shared" ca="1" si="47"/>
        <v/>
      </c>
      <c r="AM39" s="33" t="str">
        <f t="shared" ca="1" si="47"/>
        <v/>
      </c>
      <c r="AN39" s="33" t="str">
        <f t="shared" ca="1" si="47"/>
        <v/>
      </c>
      <c r="AO39" s="33" t="str">
        <f t="shared" ca="1" si="47"/>
        <v/>
      </c>
      <c r="AP39" s="33" t="str">
        <f t="shared" ca="1" si="47"/>
        <v/>
      </c>
      <c r="AQ39" s="33" t="str">
        <f t="shared" ca="1" si="47"/>
        <v/>
      </c>
      <c r="AR39" s="33" t="str">
        <f t="shared" ca="1" si="47"/>
        <v/>
      </c>
      <c r="AS39" s="33" t="str">
        <f t="shared" ca="1" si="47"/>
        <v/>
      </c>
      <c r="AT39" s="33" t="str">
        <f t="shared" ca="1" si="47"/>
        <v/>
      </c>
      <c r="AU39" s="33" t="str">
        <f t="shared" ca="1" si="47"/>
        <v/>
      </c>
      <c r="AV39" s="33" t="str">
        <f t="shared" ca="1" si="47"/>
        <v/>
      </c>
      <c r="AW39" s="33" t="str">
        <f t="shared" ca="1" si="47"/>
        <v/>
      </c>
      <c r="AX39" s="33" t="str">
        <f t="shared" ca="1" si="47"/>
        <v/>
      </c>
      <c r="AY39" s="33" t="str">
        <f t="shared" ca="1" si="47"/>
        <v/>
      </c>
      <c r="AZ39" s="33" t="str">
        <f t="shared" ca="1" si="47"/>
        <v/>
      </c>
      <c r="BA39" s="33" t="str">
        <f t="shared" ca="1" si="47"/>
        <v/>
      </c>
      <c r="BB39" s="33" t="str">
        <f t="shared" ca="1" si="45"/>
        <v/>
      </c>
      <c r="BC39" s="33" t="str">
        <f t="shared" ca="1" si="45"/>
        <v/>
      </c>
      <c r="BD39" s="33" t="str">
        <f t="shared" ca="1" si="45"/>
        <v/>
      </c>
      <c r="BE39" s="33" t="str">
        <f t="shared" ca="1" si="45"/>
        <v/>
      </c>
      <c r="BF39" s="33" t="str">
        <f t="shared" ca="1" si="45"/>
        <v/>
      </c>
      <c r="BG39" s="33" t="str">
        <f t="shared" ca="1" si="45"/>
        <v/>
      </c>
      <c r="BH39" s="33" t="str">
        <f t="shared" ca="1" si="45"/>
        <v/>
      </c>
      <c r="BI39" s="33" t="str">
        <f t="shared" ca="1" si="29"/>
        <v/>
      </c>
      <c r="BJ39" s="33" t="str">
        <f t="shared" ca="1" si="29"/>
        <v/>
      </c>
      <c r="BK39" s="33" t="str">
        <f t="shared" ca="1" si="29"/>
        <v/>
      </c>
      <c r="BL39" s="33" t="str">
        <f t="shared" ref="BL39:BO83" ca="1" si="53">IF($A39="","",IF((COLUMN()-COLUMN($AL$9))&gt;($B$3-1),0,MAX(0.1,1+$D$3*(0.6*(2*MOD(ABS(SIN((COLUMN()-COLUMN($AL$9)+1)*12.9898+$B$2*0.0001))*43758.5453,1)-1)+0.4*SIN(($BV39+COLUMN()-COLUMN($AL$9))*2*PI()/7)))))</f>
        <v/>
      </c>
      <c r="BM39" s="33" t="str">
        <f t="shared" ca="1" si="53"/>
        <v/>
      </c>
      <c r="BN39" s="33" t="str">
        <f t="shared" ca="1" si="53"/>
        <v/>
      </c>
      <c r="BO39" s="33" t="str">
        <f t="shared" ca="1" si="53"/>
        <v/>
      </c>
      <c r="BP39" s="33" t="str">
        <f t="shared" ca="1" si="11"/>
        <v/>
      </c>
      <c r="BQ39" s="78" t="str">
        <f t="shared" ca="1" si="12"/>
        <v/>
      </c>
      <c r="BR39" s="78" t="str">
        <f t="shared" ca="1" si="13"/>
        <v/>
      </c>
      <c r="BS39" s="78" t="str">
        <f t="shared" ca="1" si="14"/>
        <v/>
      </c>
      <c r="BT39" s="78" t="str">
        <f t="shared" ca="1" si="19"/>
        <v/>
      </c>
      <c r="BU39" s="78" t="str">
        <f t="shared" ca="1" si="15"/>
        <v/>
      </c>
      <c r="BV39" s="78" t="str">
        <f t="shared" ca="1" si="16"/>
        <v/>
      </c>
    </row>
    <row r="40" spans="1:74" ht="15.75" customHeight="1" x14ac:dyDescent="0.25">
      <c r="A40" s="71" t="str">
        <f ca="1">IFERROR(__xludf.DUMMYFUNCTION("IFERROR(INDEX(FILTER(T4.2026!$A$2:$A$1000, T4.2026!$A$2:$A$1000&lt;&gt;""""), ROWS($A$9:A40)), """")"),"")</f>
        <v/>
      </c>
      <c r="B40" s="72" t="str">
        <f t="array" aca="1" ref="B40" ca="1">IF($A40="","",IFERROR(_xlfn.XLOOKUP($A40,'T4.2026'!$A$2:$A$1000,'T4.2026'!$B$2:$B$1000),""))</f>
        <v/>
      </c>
      <c r="C40" s="71" t="str">
        <f t="array" aca="1" ref="C40" ca="1">IF($A40="","",IFERROR(_xlfn.XLOOKUP($A40,'T4.2026'!$A$2:$A$1000,'T4.2026'!$C$2:$C$1000),""))</f>
        <v/>
      </c>
      <c r="D40" s="73" t="str">
        <f t="array" aca="1" ref="D40" ca="1">IF($A40="","",ROUND(IFERROR(_xlfn.XLOOKUP($A40,'T4.2026'!$A$2:$A$1000,'T4.2026'!$D$2:$D$1000),0),0))</f>
        <v/>
      </c>
      <c r="E40" s="73" t="str">
        <f t="array" aca="1" ref="E40" ca="1">IF($A40="","",IFERROR(_xlfn.XLOOKUP($A40,'T4.2026'!$A$2:$A$1000,'T4.2026'!$E$2:$E$1000),0))</f>
        <v/>
      </c>
      <c r="F40" s="75" t="str">
        <f t="shared" ca="1" si="6"/>
        <v/>
      </c>
      <c r="G40" s="75" t="str">
        <f t="shared" ref="G40:AI40" ca="1" si="54">IF($A40="","",IF(G$8=0,"",IF(SUM($AL40:$BO40)=0,0,ROUND($BU40*SUM($AL40:AM40)/SUM($AL40:$BO40),0)-ROUND($BU40*SUM($AL40:AL40)/SUM($AL40:$BO40),0))))</f>
        <v/>
      </c>
      <c r="H40" s="75" t="str">
        <f t="shared" ca="1" si="54"/>
        <v/>
      </c>
      <c r="I40" s="75" t="str">
        <f t="shared" ca="1" si="54"/>
        <v/>
      </c>
      <c r="J40" s="75" t="str">
        <f t="shared" ca="1" si="54"/>
        <v/>
      </c>
      <c r="K40" s="75" t="str">
        <f t="shared" ca="1" si="54"/>
        <v/>
      </c>
      <c r="L40" s="75" t="str">
        <f t="shared" ca="1" si="54"/>
        <v/>
      </c>
      <c r="M40" s="75" t="str">
        <f t="shared" ca="1" si="54"/>
        <v/>
      </c>
      <c r="N40" s="75" t="str">
        <f t="shared" ca="1" si="54"/>
        <v/>
      </c>
      <c r="O40" s="75" t="str">
        <f t="shared" ca="1" si="54"/>
        <v/>
      </c>
      <c r="P40" s="75" t="str">
        <f t="shared" ca="1" si="54"/>
        <v/>
      </c>
      <c r="Q40" s="75" t="str">
        <f t="shared" ca="1" si="54"/>
        <v/>
      </c>
      <c r="R40" s="75" t="str">
        <f t="shared" ca="1" si="54"/>
        <v/>
      </c>
      <c r="S40" s="75" t="str">
        <f t="shared" ca="1" si="54"/>
        <v/>
      </c>
      <c r="T40" s="75" t="str">
        <f t="shared" ca="1" si="54"/>
        <v/>
      </c>
      <c r="U40" s="75" t="str">
        <f t="shared" ca="1" si="54"/>
        <v/>
      </c>
      <c r="V40" s="75" t="str">
        <f t="shared" ca="1" si="54"/>
        <v/>
      </c>
      <c r="W40" s="75" t="str">
        <f t="shared" ca="1" si="54"/>
        <v/>
      </c>
      <c r="X40" s="75" t="str">
        <f t="shared" ca="1" si="54"/>
        <v/>
      </c>
      <c r="Y40" s="75" t="str">
        <f t="shared" ca="1" si="54"/>
        <v/>
      </c>
      <c r="Z40" s="75" t="str">
        <f t="shared" ca="1" si="54"/>
        <v/>
      </c>
      <c r="AA40" s="75" t="str">
        <f t="shared" ca="1" si="54"/>
        <v/>
      </c>
      <c r="AB40" s="75" t="str">
        <f t="shared" ca="1" si="54"/>
        <v/>
      </c>
      <c r="AC40" s="75" t="str">
        <f t="shared" ca="1" si="54"/>
        <v/>
      </c>
      <c r="AD40" s="75" t="str">
        <f t="shared" ca="1" si="54"/>
        <v/>
      </c>
      <c r="AE40" s="75" t="str">
        <f t="shared" ca="1" si="54"/>
        <v/>
      </c>
      <c r="AF40" s="75" t="str">
        <f t="shared" ca="1" si="54"/>
        <v/>
      </c>
      <c r="AG40" s="75" t="str">
        <f t="shared" ca="1" si="54"/>
        <v/>
      </c>
      <c r="AH40" s="75" t="str">
        <f t="shared" ca="1" si="54"/>
        <v/>
      </c>
      <c r="AI40" s="75" t="str">
        <f t="shared" ca="1" si="54"/>
        <v/>
      </c>
      <c r="AJ40" s="76" t="str">
        <f t="shared" ca="1" si="8"/>
        <v/>
      </c>
      <c r="AK40" s="76" t="str">
        <f t="shared" ca="1" si="9"/>
        <v/>
      </c>
      <c r="AL40" s="33" t="str">
        <f t="shared" ca="1" si="47"/>
        <v/>
      </c>
      <c r="AM40" s="33" t="str">
        <f t="shared" ca="1" si="47"/>
        <v/>
      </c>
      <c r="AN40" s="33" t="str">
        <f t="shared" ca="1" si="47"/>
        <v/>
      </c>
      <c r="AO40" s="33" t="str">
        <f t="shared" ca="1" si="47"/>
        <v/>
      </c>
      <c r="AP40" s="33" t="str">
        <f t="shared" ca="1" si="47"/>
        <v/>
      </c>
      <c r="AQ40" s="33" t="str">
        <f t="shared" ca="1" si="47"/>
        <v/>
      </c>
      <c r="AR40" s="33" t="str">
        <f t="shared" ca="1" si="47"/>
        <v/>
      </c>
      <c r="AS40" s="33" t="str">
        <f t="shared" ca="1" si="47"/>
        <v/>
      </c>
      <c r="AT40" s="33" t="str">
        <f t="shared" ca="1" si="47"/>
        <v/>
      </c>
      <c r="AU40" s="33" t="str">
        <f t="shared" ca="1" si="47"/>
        <v/>
      </c>
      <c r="AV40" s="33" t="str">
        <f t="shared" ca="1" si="47"/>
        <v/>
      </c>
      <c r="AW40" s="33" t="str">
        <f t="shared" ca="1" si="47"/>
        <v/>
      </c>
      <c r="AX40" s="33" t="str">
        <f t="shared" ca="1" si="47"/>
        <v/>
      </c>
      <c r="AY40" s="33" t="str">
        <f t="shared" ca="1" si="47"/>
        <v/>
      </c>
      <c r="AZ40" s="33" t="str">
        <f t="shared" ca="1" si="47"/>
        <v/>
      </c>
      <c r="BA40" s="33" t="str">
        <f t="shared" ca="1" si="47"/>
        <v/>
      </c>
      <c r="BB40" s="33" t="str">
        <f t="shared" ca="1" si="45"/>
        <v/>
      </c>
      <c r="BC40" s="33" t="str">
        <f t="shared" ca="1" si="45"/>
        <v/>
      </c>
      <c r="BD40" s="33" t="str">
        <f t="shared" ca="1" si="45"/>
        <v/>
      </c>
      <c r="BE40" s="33" t="str">
        <f t="shared" ca="1" si="45"/>
        <v/>
      </c>
      <c r="BF40" s="33" t="str">
        <f t="shared" ca="1" si="45"/>
        <v/>
      </c>
      <c r="BG40" s="33" t="str">
        <f t="shared" ca="1" si="45"/>
        <v/>
      </c>
      <c r="BH40" s="33" t="str">
        <f t="shared" ca="1" si="45"/>
        <v/>
      </c>
      <c r="BI40" s="33" t="str">
        <f t="shared" ref="BI40:BO83" ca="1" si="55">IF($A40="","",IF((COLUMN()-COLUMN($AL$9))&gt;($B$3-1),0,MAX(0.1,1+$D$3*(0.6*(2*MOD(ABS(SIN((COLUMN()-COLUMN($AL$9)+1)*12.9898+$B$2*0.0001))*43758.5453,1)-1)+0.4*SIN(($BV40+COLUMN()-COLUMN($AL$9))*2*PI()/7)))))</f>
        <v/>
      </c>
      <c r="BJ40" s="33" t="str">
        <f t="shared" ca="1" si="55"/>
        <v/>
      </c>
      <c r="BK40" s="33" t="str">
        <f t="shared" ca="1" si="55"/>
        <v/>
      </c>
      <c r="BL40" s="33" t="str">
        <f t="shared" ca="1" si="55"/>
        <v/>
      </c>
      <c r="BM40" s="33" t="str">
        <f t="shared" ca="1" si="55"/>
        <v/>
      </c>
      <c r="BN40" s="33" t="str">
        <f t="shared" ca="1" si="55"/>
        <v/>
      </c>
      <c r="BO40" s="33" t="str">
        <f t="shared" ca="1" si="55"/>
        <v/>
      </c>
      <c r="BP40" s="33" t="str">
        <f t="shared" ca="1" si="11"/>
        <v/>
      </c>
      <c r="BQ40" s="78" t="str">
        <f t="shared" ca="1" si="12"/>
        <v/>
      </c>
      <c r="BR40" s="78" t="str">
        <f t="shared" ca="1" si="13"/>
        <v/>
      </c>
      <c r="BS40" s="78" t="str">
        <f t="shared" ca="1" si="14"/>
        <v/>
      </c>
      <c r="BT40" s="78" t="str">
        <f t="shared" ca="1" si="19"/>
        <v/>
      </c>
      <c r="BU40" s="78" t="str">
        <f t="shared" ca="1" si="15"/>
        <v/>
      </c>
      <c r="BV40" s="78" t="str">
        <f t="shared" ca="1" si="16"/>
        <v/>
      </c>
    </row>
    <row r="41" spans="1:74" ht="15.75" customHeight="1" x14ac:dyDescent="0.25">
      <c r="A41" s="71" t="str">
        <f ca="1">IFERROR(__xludf.DUMMYFUNCTION("IFERROR(INDEX(FILTER(T4.2026!$A$2:$A$1000, T4.2026!$A$2:$A$1000&lt;&gt;""""), ROWS($A$9:A41)), """")"),"")</f>
        <v/>
      </c>
      <c r="B41" s="72" t="str">
        <f t="array" aca="1" ref="B41" ca="1">IF($A41="","",IFERROR(_xlfn.XLOOKUP($A41,'T4.2026'!$A$2:$A$1000,'T4.2026'!$B$2:$B$1000),""))</f>
        <v/>
      </c>
      <c r="C41" s="71" t="str">
        <f t="array" aca="1" ref="C41" ca="1">IF($A41="","",IFERROR(_xlfn.XLOOKUP($A41,'T4.2026'!$A$2:$A$1000,'T4.2026'!$C$2:$C$1000),""))</f>
        <v/>
      </c>
      <c r="D41" s="73" t="str">
        <f t="array" aca="1" ref="D41" ca="1">IF($A41="","",ROUND(IFERROR(_xlfn.XLOOKUP($A41,'T4.2026'!$A$2:$A$1000,'T4.2026'!$D$2:$D$1000),0),0))</f>
        <v/>
      </c>
      <c r="E41" s="73" t="str">
        <f t="array" aca="1" ref="E41" ca="1">IF($A41="","",IFERROR(_xlfn.XLOOKUP($A41,'T4.2026'!$A$2:$A$1000,'T4.2026'!$E$2:$E$1000),0))</f>
        <v/>
      </c>
      <c r="F41" s="75" t="str">
        <f t="shared" ca="1" si="6"/>
        <v/>
      </c>
      <c r="G41" s="75" t="str">
        <f t="shared" ref="G41:AI41" ca="1" si="56">IF($A41="","",IF(G$8=0,"",IF(SUM($AL41:$BO41)=0,0,ROUND($BU41*SUM($AL41:AM41)/SUM($AL41:$BO41),0)-ROUND($BU41*SUM($AL41:AL41)/SUM($AL41:$BO41),0))))</f>
        <v/>
      </c>
      <c r="H41" s="75" t="str">
        <f t="shared" ca="1" si="56"/>
        <v/>
      </c>
      <c r="I41" s="75" t="str">
        <f t="shared" ca="1" si="56"/>
        <v/>
      </c>
      <c r="J41" s="75" t="str">
        <f t="shared" ca="1" si="56"/>
        <v/>
      </c>
      <c r="K41" s="75" t="str">
        <f t="shared" ca="1" si="56"/>
        <v/>
      </c>
      <c r="L41" s="75" t="str">
        <f t="shared" ca="1" si="56"/>
        <v/>
      </c>
      <c r="M41" s="75" t="str">
        <f t="shared" ca="1" si="56"/>
        <v/>
      </c>
      <c r="N41" s="75" t="str">
        <f t="shared" ca="1" si="56"/>
        <v/>
      </c>
      <c r="O41" s="75" t="str">
        <f t="shared" ca="1" si="56"/>
        <v/>
      </c>
      <c r="P41" s="75" t="str">
        <f t="shared" ca="1" si="56"/>
        <v/>
      </c>
      <c r="Q41" s="75" t="str">
        <f t="shared" ca="1" si="56"/>
        <v/>
      </c>
      <c r="R41" s="75" t="str">
        <f t="shared" ca="1" si="56"/>
        <v/>
      </c>
      <c r="S41" s="75" t="str">
        <f t="shared" ca="1" si="56"/>
        <v/>
      </c>
      <c r="T41" s="75" t="str">
        <f t="shared" ca="1" si="56"/>
        <v/>
      </c>
      <c r="U41" s="75" t="str">
        <f t="shared" ca="1" si="56"/>
        <v/>
      </c>
      <c r="V41" s="75" t="str">
        <f t="shared" ca="1" si="56"/>
        <v/>
      </c>
      <c r="W41" s="75" t="str">
        <f t="shared" ca="1" si="56"/>
        <v/>
      </c>
      <c r="X41" s="75" t="str">
        <f t="shared" ca="1" si="56"/>
        <v/>
      </c>
      <c r="Y41" s="75" t="str">
        <f t="shared" ca="1" si="56"/>
        <v/>
      </c>
      <c r="Z41" s="75" t="str">
        <f t="shared" ca="1" si="56"/>
        <v/>
      </c>
      <c r="AA41" s="75" t="str">
        <f t="shared" ca="1" si="56"/>
        <v/>
      </c>
      <c r="AB41" s="75" t="str">
        <f t="shared" ca="1" si="56"/>
        <v/>
      </c>
      <c r="AC41" s="75" t="str">
        <f t="shared" ca="1" si="56"/>
        <v/>
      </c>
      <c r="AD41" s="75" t="str">
        <f t="shared" ca="1" si="56"/>
        <v/>
      </c>
      <c r="AE41" s="75" t="str">
        <f t="shared" ca="1" si="56"/>
        <v/>
      </c>
      <c r="AF41" s="75" t="str">
        <f t="shared" ca="1" si="56"/>
        <v/>
      </c>
      <c r="AG41" s="75" t="str">
        <f t="shared" ca="1" si="56"/>
        <v/>
      </c>
      <c r="AH41" s="75" t="str">
        <f t="shared" ca="1" si="56"/>
        <v/>
      </c>
      <c r="AI41" s="75" t="str">
        <f t="shared" ca="1" si="56"/>
        <v/>
      </c>
      <c r="AJ41" s="76" t="str">
        <f t="shared" ca="1" si="8"/>
        <v/>
      </c>
      <c r="AK41" s="76" t="str">
        <f t="shared" ca="1" si="9"/>
        <v/>
      </c>
      <c r="AL41" s="33" t="str">
        <f t="shared" ca="1" si="47"/>
        <v/>
      </c>
      <c r="AM41" s="33" t="str">
        <f t="shared" ca="1" si="47"/>
        <v/>
      </c>
      <c r="AN41" s="33" t="str">
        <f t="shared" ca="1" si="47"/>
        <v/>
      </c>
      <c r="AO41" s="33" t="str">
        <f t="shared" ca="1" si="47"/>
        <v/>
      </c>
      <c r="AP41" s="33" t="str">
        <f t="shared" ca="1" si="47"/>
        <v/>
      </c>
      <c r="AQ41" s="33" t="str">
        <f t="shared" ca="1" si="47"/>
        <v/>
      </c>
      <c r="AR41" s="33" t="str">
        <f t="shared" ca="1" si="47"/>
        <v/>
      </c>
      <c r="AS41" s="33" t="str">
        <f t="shared" ca="1" si="47"/>
        <v/>
      </c>
      <c r="AT41" s="33" t="str">
        <f t="shared" ca="1" si="47"/>
        <v/>
      </c>
      <c r="AU41" s="33" t="str">
        <f t="shared" ca="1" si="47"/>
        <v/>
      </c>
      <c r="AV41" s="33" t="str">
        <f t="shared" ca="1" si="47"/>
        <v/>
      </c>
      <c r="AW41" s="33" t="str">
        <f t="shared" ca="1" si="47"/>
        <v/>
      </c>
      <c r="AX41" s="33" t="str">
        <f t="shared" ca="1" si="47"/>
        <v/>
      </c>
      <c r="AY41" s="33" t="str">
        <f t="shared" ca="1" si="47"/>
        <v/>
      </c>
      <c r="AZ41" s="33" t="str">
        <f t="shared" ca="1" si="47"/>
        <v/>
      </c>
      <c r="BA41" s="33" t="str">
        <f t="shared" ca="1" si="47"/>
        <v/>
      </c>
      <c r="BB41" s="33" t="str">
        <f t="shared" ca="1" si="45"/>
        <v/>
      </c>
      <c r="BC41" s="33" t="str">
        <f t="shared" ca="1" si="45"/>
        <v/>
      </c>
      <c r="BD41" s="33" t="str">
        <f t="shared" ca="1" si="45"/>
        <v/>
      </c>
      <c r="BE41" s="33" t="str">
        <f t="shared" ca="1" si="45"/>
        <v/>
      </c>
      <c r="BF41" s="33" t="str">
        <f t="shared" ca="1" si="45"/>
        <v/>
      </c>
      <c r="BG41" s="33" t="str">
        <f t="shared" ca="1" si="45"/>
        <v/>
      </c>
      <c r="BH41" s="33" t="str">
        <f t="shared" ca="1" si="45"/>
        <v/>
      </c>
      <c r="BI41" s="33" t="str">
        <f t="shared" ca="1" si="55"/>
        <v/>
      </c>
      <c r="BJ41" s="33" t="str">
        <f t="shared" ca="1" si="55"/>
        <v/>
      </c>
      <c r="BK41" s="33" t="str">
        <f t="shared" ca="1" si="55"/>
        <v/>
      </c>
      <c r="BL41" s="33" t="str">
        <f t="shared" ca="1" si="55"/>
        <v/>
      </c>
      <c r="BM41" s="33" t="str">
        <f t="shared" ca="1" si="55"/>
        <v/>
      </c>
      <c r="BN41" s="33" t="str">
        <f t="shared" ca="1" si="55"/>
        <v/>
      </c>
      <c r="BO41" s="33" t="str">
        <f t="shared" ca="1" si="55"/>
        <v/>
      </c>
      <c r="BP41" s="33" t="str">
        <f t="shared" ca="1" si="11"/>
        <v/>
      </c>
      <c r="BQ41" s="78" t="str">
        <f t="shared" ca="1" si="12"/>
        <v/>
      </c>
      <c r="BR41" s="78" t="str">
        <f t="shared" ca="1" si="13"/>
        <v/>
      </c>
      <c r="BS41" s="78" t="str">
        <f t="shared" ca="1" si="14"/>
        <v/>
      </c>
      <c r="BT41" s="78" t="str">
        <f t="shared" ca="1" si="19"/>
        <v/>
      </c>
      <c r="BU41" s="78" t="str">
        <f t="shared" ca="1" si="15"/>
        <v/>
      </c>
      <c r="BV41" s="78" t="str">
        <f t="shared" ca="1" si="16"/>
        <v/>
      </c>
    </row>
    <row r="42" spans="1:74" ht="15.75" customHeight="1" x14ac:dyDescent="0.25">
      <c r="A42" s="71" t="str">
        <f ca="1">IFERROR(__xludf.DUMMYFUNCTION("IFERROR(INDEX(FILTER(T4.2026!$A$2:$A$1000, T4.2026!$A$2:$A$1000&lt;&gt;""""), ROWS($A$9:A42)), """")"),"")</f>
        <v/>
      </c>
      <c r="B42" s="72" t="str">
        <f t="array" aca="1" ref="B42" ca="1">IF($A42="","",IFERROR(_xlfn.XLOOKUP($A42,'T4.2026'!$A$2:$A$1000,'T4.2026'!$B$2:$B$1000),""))</f>
        <v/>
      </c>
      <c r="C42" s="71" t="str">
        <f t="array" aca="1" ref="C42" ca="1">IF($A42="","",IFERROR(_xlfn.XLOOKUP($A42,'T4.2026'!$A$2:$A$1000,'T4.2026'!$C$2:$C$1000),""))</f>
        <v/>
      </c>
      <c r="D42" s="73" t="str">
        <f t="array" aca="1" ref="D42" ca="1">IF($A42="","",ROUND(IFERROR(_xlfn.XLOOKUP($A42,'T4.2026'!$A$2:$A$1000,'T4.2026'!$D$2:$D$1000),0),0))</f>
        <v/>
      </c>
      <c r="E42" s="73" t="str">
        <f t="array" aca="1" ref="E42" ca="1">IF($A42="","",IFERROR(_xlfn.XLOOKUP($A42,'T4.2026'!$A$2:$A$1000,'T4.2026'!$E$2:$E$1000),0))</f>
        <v/>
      </c>
      <c r="F42" s="75" t="str">
        <f t="shared" ca="1" si="6"/>
        <v/>
      </c>
      <c r="G42" s="75" t="str">
        <f t="shared" ref="G42:AI42" ca="1" si="57">IF($A42="","",IF(G$8=0,"",IF(SUM($AL42:$BO42)=0,0,ROUND($BU42*SUM($AL42:AM42)/SUM($AL42:$BO42),0)-ROUND($BU42*SUM($AL42:AL42)/SUM($AL42:$BO42),0))))</f>
        <v/>
      </c>
      <c r="H42" s="75" t="str">
        <f t="shared" ca="1" si="57"/>
        <v/>
      </c>
      <c r="I42" s="75" t="str">
        <f t="shared" ca="1" si="57"/>
        <v/>
      </c>
      <c r="J42" s="75" t="str">
        <f t="shared" ca="1" si="57"/>
        <v/>
      </c>
      <c r="K42" s="75" t="str">
        <f t="shared" ca="1" si="57"/>
        <v/>
      </c>
      <c r="L42" s="75" t="str">
        <f t="shared" ca="1" si="57"/>
        <v/>
      </c>
      <c r="M42" s="75" t="str">
        <f t="shared" ca="1" si="57"/>
        <v/>
      </c>
      <c r="N42" s="75" t="str">
        <f t="shared" ca="1" si="57"/>
        <v/>
      </c>
      <c r="O42" s="75" t="str">
        <f t="shared" ca="1" si="57"/>
        <v/>
      </c>
      <c r="P42" s="75" t="str">
        <f t="shared" ca="1" si="57"/>
        <v/>
      </c>
      <c r="Q42" s="75" t="str">
        <f t="shared" ca="1" si="57"/>
        <v/>
      </c>
      <c r="R42" s="75" t="str">
        <f t="shared" ca="1" si="57"/>
        <v/>
      </c>
      <c r="S42" s="75" t="str">
        <f t="shared" ca="1" si="57"/>
        <v/>
      </c>
      <c r="T42" s="75" t="str">
        <f t="shared" ca="1" si="57"/>
        <v/>
      </c>
      <c r="U42" s="75" t="str">
        <f t="shared" ca="1" si="57"/>
        <v/>
      </c>
      <c r="V42" s="75" t="str">
        <f t="shared" ca="1" si="57"/>
        <v/>
      </c>
      <c r="W42" s="75" t="str">
        <f t="shared" ca="1" si="57"/>
        <v/>
      </c>
      <c r="X42" s="75" t="str">
        <f t="shared" ca="1" si="57"/>
        <v/>
      </c>
      <c r="Y42" s="75" t="str">
        <f t="shared" ca="1" si="57"/>
        <v/>
      </c>
      <c r="Z42" s="75" t="str">
        <f t="shared" ca="1" si="57"/>
        <v/>
      </c>
      <c r="AA42" s="75" t="str">
        <f t="shared" ca="1" si="57"/>
        <v/>
      </c>
      <c r="AB42" s="75" t="str">
        <f t="shared" ca="1" si="57"/>
        <v/>
      </c>
      <c r="AC42" s="75" t="str">
        <f t="shared" ca="1" si="57"/>
        <v/>
      </c>
      <c r="AD42" s="75" t="str">
        <f t="shared" ca="1" si="57"/>
        <v/>
      </c>
      <c r="AE42" s="75" t="str">
        <f t="shared" ca="1" si="57"/>
        <v/>
      </c>
      <c r="AF42" s="75" t="str">
        <f t="shared" ca="1" si="57"/>
        <v/>
      </c>
      <c r="AG42" s="75" t="str">
        <f t="shared" ca="1" si="57"/>
        <v/>
      </c>
      <c r="AH42" s="75" t="str">
        <f t="shared" ca="1" si="57"/>
        <v/>
      </c>
      <c r="AI42" s="75" t="str">
        <f t="shared" ca="1" si="57"/>
        <v/>
      </c>
      <c r="AJ42" s="76" t="str">
        <f t="shared" ca="1" si="8"/>
        <v/>
      </c>
      <c r="AK42" s="76" t="str">
        <f t="shared" ca="1" si="9"/>
        <v/>
      </c>
      <c r="AL42" s="33" t="str">
        <f t="shared" ca="1" si="47"/>
        <v/>
      </c>
      <c r="AM42" s="33" t="str">
        <f t="shared" ca="1" si="47"/>
        <v/>
      </c>
      <c r="AN42" s="33" t="str">
        <f t="shared" ca="1" si="47"/>
        <v/>
      </c>
      <c r="AO42" s="33" t="str">
        <f t="shared" ca="1" si="47"/>
        <v/>
      </c>
      <c r="AP42" s="33" t="str">
        <f t="shared" ca="1" si="47"/>
        <v/>
      </c>
      <c r="AQ42" s="33" t="str">
        <f t="shared" ca="1" si="47"/>
        <v/>
      </c>
      <c r="AR42" s="33" t="str">
        <f t="shared" ca="1" si="47"/>
        <v/>
      </c>
      <c r="AS42" s="33" t="str">
        <f t="shared" ca="1" si="47"/>
        <v/>
      </c>
      <c r="AT42" s="33" t="str">
        <f t="shared" ca="1" si="47"/>
        <v/>
      </c>
      <c r="AU42" s="33" t="str">
        <f t="shared" ca="1" si="47"/>
        <v/>
      </c>
      <c r="AV42" s="33" t="str">
        <f t="shared" ca="1" si="47"/>
        <v/>
      </c>
      <c r="AW42" s="33" t="str">
        <f t="shared" ca="1" si="47"/>
        <v/>
      </c>
      <c r="AX42" s="33" t="str">
        <f t="shared" ca="1" si="47"/>
        <v/>
      </c>
      <c r="AY42" s="33" t="str">
        <f t="shared" ca="1" si="47"/>
        <v/>
      </c>
      <c r="AZ42" s="33" t="str">
        <f t="shared" ca="1" si="47"/>
        <v/>
      </c>
      <c r="BA42" s="33" t="str">
        <f t="shared" ca="1" si="47"/>
        <v/>
      </c>
      <c r="BB42" s="33" t="str">
        <f t="shared" ca="1" si="45"/>
        <v/>
      </c>
      <c r="BC42" s="33" t="str">
        <f t="shared" ca="1" si="45"/>
        <v/>
      </c>
      <c r="BD42" s="33" t="str">
        <f t="shared" ca="1" si="45"/>
        <v/>
      </c>
      <c r="BE42" s="33" t="str">
        <f t="shared" ca="1" si="45"/>
        <v/>
      </c>
      <c r="BF42" s="33" t="str">
        <f t="shared" ca="1" si="45"/>
        <v/>
      </c>
      <c r="BG42" s="33" t="str">
        <f t="shared" ca="1" si="45"/>
        <v/>
      </c>
      <c r="BH42" s="33" t="str">
        <f t="shared" ca="1" si="45"/>
        <v/>
      </c>
      <c r="BI42" s="33" t="str">
        <f t="shared" ca="1" si="55"/>
        <v/>
      </c>
      <c r="BJ42" s="33" t="str">
        <f t="shared" ca="1" si="55"/>
        <v/>
      </c>
      <c r="BK42" s="33" t="str">
        <f t="shared" ca="1" si="55"/>
        <v/>
      </c>
      <c r="BL42" s="33" t="str">
        <f t="shared" ca="1" si="55"/>
        <v/>
      </c>
      <c r="BM42" s="33" t="str">
        <f t="shared" ca="1" si="55"/>
        <v/>
      </c>
      <c r="BN42" s="33" t="str">
        <f t="shared" ca="1" si="55"/>
        <v/>
      </c>
      <c r="BO42" s="33" t="str">
        <f t="shared" ca="1" si="55"/>
        <v/>
      </c>
      <c r="BP42" s="33" t="str">
        <f t="shared" ca="1" si="11"/>
        <v/>
      </c>
      <c r="BQ42" s="78" t="str">
        <f t="shared" ca="1" si="12"/>
        <v/>
      </c>
      <c r="BR42" s="78" t="str">
        <f t="shared" ca="1" si="13"/>
        <v/>
      </c>
      <c r="BS42" s="78" t="str">
        <f t="shared" ca="1" si="14"/>
        <v/>
      </c>
      <c r="BT42" s="78" t="str">
        <f t="shared" ca="1" si="19"/>
        <v/>
      </c>
      <c r="BU42" s="78" t="str">
        <f t="shared" ca="1" si="15"/>
        <v/>
      </c>
      <c r="BV42" s="78" t="str">
        <f t="shared" ca="1" si="16"/>
        <v/>
      </c>
    </row>
    <row r="43" spans="1:74" ht="15.75" customHeight="1" x14ac:dyDescent="0.25">
      <c r="A43" s="71" t="str">
        <f ca="1">IFERROR(__xludf.DUMMYFUNCTION("IFERROR(INDEX(FILTER(T4.2026!$A$2:$A$1000, T4.2026!$A$2:$A$1000&lt;&gt;""""), ROWS($A$9:A43)), """")"),"")</f>
        <v/>
      </c>
      <c r="B43" s="72" t="str">
        <f t="array" aca="1" ref="B43" ca="1">IF($A43="","",IFERROR(_xlfn.XLOOKUP($A43,'T4.2026'!$A$2:$A$1000,'T4.2026'!$B$2:$B$1000),""))</f>
        <v/>
      </c>
      <c r="C43" s="71" t="str">
        <f t="array" aca="1" ref="C43" ca="1">IF($A43="","",IFERROR(_xlfn.XLOOKUP($A43,'T4.2026'!$A$2:$A$1000,'T4.2026'!$C$2:$C$1000),""))</f>
        <v/>
      </c>
      <c r="D43" s="73" t="str">
        <f t="array" aca="1" ref="D43" ca="1">IF($A43="","",ROUND(IFERROR(_xlfn.XLOOKUP($A43,'T4.2026'!$A$2:$A$1000,'T4.2026'!$D$2:$D$1000),0),0))</f>
        <v/>
      </c>
      <c r="E43" s="73" t="str">
        <f t="array" aca="1" ref="E43" ca="1">IF($A43="","",IFERROR(_xlfn.XLOOKUP($A43,'T4.2026'!$A$2:$A$1000,'T4.2026'!$E$2:$E$1000),0))</f>
        <v/>
      </c>
      <c r="F43" s="75" t="str">
        <f t="shared" ca="1" si="6"/>
        <v/>
      </c>
      <c r="G43" s="75" t="str">
        <f t="shared" ref="G43:AI43" ca="1" si="58">IF($A43="","",IF(G$8=0,"",IF(SUM($AL43:$BO43)=0,0,ROUND($BU43*SUM($AL43:AM43)/SUM($AL43:$BO43),0)-ROUND($BU43*SUM($AL43:AL43)/SUM($AL43:$BO43),0))))</f>
        <v/>
      </c>
      <c r="H43" s="75" t="str">
        <f t="shared" ca="1" si="58"/>
        <v/>
      </c>
      <c r="I43" s="75" t="str">
        <f t="shared" ca="1" si="58"/>
        <v/>
      </c>
      <c r="J43" s="75" t="str">
        <f t="shared" ca="1" si="58"/>
        <v/>
      </c>
      <c r="K43" s="75" t="str">
        <f t="shared" ca="1" si="58"/>
        <v/>
      </c>
      <c r="L43" s="75" t="str">
        <f t="shared" ca="1" si="58"/>
        <v/>
      </c>
      <c r="M43" s="75" t="str">
        <f t="shared" ca="1" si="58"/>
        <v/>
      </c>
      <c r="N43" s="75" t="str">
        <f t="shared" ca="1" si="58"/>
        <v/>
      </c>
      <c r="O43" s="75" t="str">
        <f t="shared" ca="1" si="58"/>
        <v/>
      </c>
      <c r="P43" s="75" t="str">
        <f t="shared" ca="1" si="58"/>
        <v/>
      </c>
      <c r="Q43" s="75" t="str">
        <f t="shared" ca="1" si="58"/>
        <v/>
      </c>
      <c r="R43" s="75" t="str">
        <f t="shared" ca="1" si="58"/>
        <v/>
      </c>
      <c r="S43" s="75" t="str">
        <f t="shared" ca="1" si="58"/>
        <v/>
      </c>
      <c r="T43" s="75" t="str">
        <f t="shared" ca="1" si="58"/>
        <v/>
      </c>
      <c r="U43" s="75" t="str">
        <f t="shared" ca="1" si="58"/>
        <v/>
      </c>
      <c r="V43" s="75" t="str">
        <f t="shared" ca="1" si="58"/>
        <v/>
      </c>
      <c r="W43" s="75" t="str">
        <f t="shared" ca="1" si="58"/>
        <v/>
      </c>
      <c r="X43" s="75" t="str">
        <f t="shared" ca="1" si="58"/>
        <v/>
      </c>
      <c r="Y43" s="75" t="str">
        <f t="shared" ca="1" si="58"/>
        <v/>
      </c>
      <c r="Z43" s="75" t="str">
        <f t="shared" ca="1" si="58"/>
        <v/>
      </c>
      <c r="AA43" s="75" t="str">
        <f t="shared" ca="1" si="58"/>
        <v/>
      </c>
      <c r="AB43" s="75" t="str">
        <f t="shared" ca="1" si="58"/>
        <v/>
      </c>
      <c r="AC43" s="75" t="str">
        <f t="shared" ca="1" si="58"/>
        <v/>
      </c>
      <c r="AD43" s="75" t="str">
        <f t="shared" ca="1" si="58"/>
        <v/>
      </c>
      <c r="AE43" s="75" t="str">
        <f t="shared" ca="1" si="58"/>
        <v/>
      </c>
      <c r="AF43" s="75" t="str">
        <f t="shared" ca="1" si="58"/>
        <v/>
      </c>
      <c r="AG43" s="75" t="str">
        <f t="shared" ca="1" si="58"/>
        <v/>
      </c>
      <c r="AH43" s="75" t="str">
        <f t="shared" ca="1" si="58"/>
        <v/>
      </c>
      <c r="AI43" s="75" t="str">
        <f t="shared" ca="1" si="58"/>
        <v/>
      </c>
      <c r="AJ43" s="76" t="str">
        <f t="shared" ca="1" si="8"/>
        <v/>
      </c>
      <c r="AK43" s="76" t="str">
        <f t="shared" ca="1" si="9"/>
        <v/>
      </c>
      <c r="AL43" s="33" t="str">
        <f t="shared" ca="1" si="47"/>
        <v/>
      </c>
      <c r="AM43" s="33" t="str">
        <f t="shared" ca="1" si="47"/>
        <v/>
      </c>
      <c r="AN43" s="33" t="str">
        <f t="shared" ca="1" si="47"/>
        <v/>
      </c>
      <c r="AO43" s="33" t="str">
        <f t="shared" ca="1" si="47"/>
        <v/>
      </c>
      <c r="AP43" s="33" t="str">
        <f t="shared" ca="1" si="47"/>
        <v/>
      </c>
      <c r="AQ43" s="33" t="str">
        <f t="shared" ca="1" si="47"/>
        <v/>
      </c>
      <c r="AR43" s="33" t="str">
        <f t="shared" ca="1" si="47"/>
        <v/>
      </c>
      <c r="AS43" s="33" t="str">
        <f t="shared" ca="1" si="47"/>
        <v/>
      </c>
      <c r="AT43" s="33" t="str">
        <f t="shared" ca="1" si="47"/>
        <v/>
      </c>
      <c r="AU43" s="33" t="str">
        <f t="shared" ca="1" si="47"/>
        <v/>
      </c>
      <c r="AV43" s="33" t="str">
        <f t="shared" ca="1" si="47"/>
        <v/>
      </c>
      <c r="AW43" s="33" t="str">
        <f t="shared" ca="1" si="47"/>
        <v/>
      </c>
      <c r="AX43" s="33" t="str">
        <f t="shared" ca="1" si="47"/>
        <v/>
      </c>
      <c r="AY43" s="33" t="str">
        <f t="shared" ca="1" si="47"/>
        <v/>
      </c>
      <c r="AZ43" s="33" t="str">
        <f t="shared" ca="1" si="47"/>
        <v/>
      </c>
      <c r="BA43" s="33" t="str">
        <f t="shared" ca="1" si="47"/>
        <v/>
      </c>
      <c r="BB43" s="33" t="str">
        <f t="shared" ca="1" si="45"/>
        <v/>
      </c>
      <c r="BC43" s="33" t="str">
        <f t="shared" ca="1" si="45"/>
        <v/>
      </c>
      <c r="BD43" s="33" t="str">
        <f t="shared" ca="1" si="45"/>
        <v/>
      </c>
      <c r="BE43" s="33" t="str">
        <f t="shared" ca="1" si="45"/>
        <v/>
      </c>
      <c r="BF43" s="33" t="str">
        <f t="shared" ca="1" si="45"/>
        <v/>
      </c>
      <c r="BG43" s="33" t="str">
        <f t="shared" ca="1" si="45"/>
        <v/>
      </c>
      <c r="BH43" s="33" t="str">
        <f t="shared" ca="1" si="45"/>
        <v/>
      </c>
      <c r="BI43" s="33" t="str">
        <f t="shared" ca="1" si="55"/>
        <v/>
      </c>
      <c r="BJ43" s="33" t="str">
        <f t="shared" ca="1" si="55"/>
        <v/>
      </c>
      <c r="BK43" s="33" t="str">
        <f t="shared" ca="1" si="55"/>
        <v/>
      </c>
      <c r="BL43" s="33" t="str">
        <f t="shared" ca="1" si="55"/>
        <v/>
      </c>
      <c r="BM43" s="33" t="str">
        <f t="shared" ca="1" si="55"/>
        <v/>
      </c>
      <c r="BN43" s="33" t="str">
        <f t="shared" ca="1" si="55"/>
        <v/>
      </c>
      <c r="BO43" s="33" t="str">
        <f t="shared" ca="1" si="55"/>
        <v/>
      </c>
      <c r="BP43" s="33" t="str">
        <f t="shared" ca="1" si="11"/>
        <v/>
      </c>
      <c r="BQ43" s="78" t="str">
        <f t="shared" ca="1" si="12"/>
        <v/>
      </c>
      <c r="BR43" s="78" t="str">
        <f t="shared" ca="1" si="13"/>
        <v/>
      </c>
      <c r="BS43" s="78" t="str">
        <f t="shared" ca="1" si="14"/>
        <v/>
      </c>
      <c r="BT43" s="78" t="str">
        <f t="shared" ca="1" si="19"/>
        <v/>
      </c>
      <c r="BU43" s="78" t="str">
        <f t="shared" ca="1" si="15"/>
        <v/>
      </c>
      <c r="BV43" s="78" t="str">
        <f t="shared" ca="1" si="16"/>
        <v/>
      </c>
    </row>
    <row r="44" spans="1:74" ht="15.75" customHeight="1" x14ac:dyDescent="0.25">
      <c r="A44" s="71" t="str">
        <f ca="1">IFERROR(__xludf.DUMMYFUNCTION("IFERROR(INDEX(FILTER(T4.2026!$A$2:$A$1000, T4.2026!$A$2:$A$1000&lt;&gt;""""), ROWS($A$9:A44)), """")"),"")</f>
        <v/>
      </c>
      <c r="B44" s="72" t="str">
        <f t="array" aca="1" ref="B44" ca="1">IF($A44="","",IFERROR(_xlfn.XLOOKUP($A44,'T4.2026'!$A$2:$A$1000,'T4.2026'!$B$2:$B$1000),""))</f>
        <v/>
      </c>
      <c r="C44" s="71" t="str">
        <f t="array" aca="1" ref="C44" ca="1">IF($A44="","",IFERROR(_xlfn.XLOOKUP($A44,'T4.2026'!$A$2:$A$1000,'T4.2026'!$C$2:$C$1000),""))</f>
        <v/>
      </c>
      <c r="D44" s="73" t="str">
        <f t="array" aca="1" ref="D44" ca="1">IF($A44="","",ROUND(IFERROR(_xlfn.XLOOKUP($A44,'T4.2026'!$A$2:$A$1000,'T4.2026'!$D$2:$D$1000),0),0))</f>
        <v/>
      </c>
      <c r="E44" s="73" t="str">
        <f t="array" aca="1" ref="E44" ca="1">IF($A44="","",IFERROR(_xlfn.XLOOKUP($A44,'T4.2026'!$A$2:$A$1000,'T4.2026'!$E$2:$E$1000),0))</f>
        <v/>
      </c>
      <c r="F44" s="75" t="str">
        <f t="shared" ca="1" si="6"/>
        <v/>
      </c>
      <c r="G44" s="75" t="str">
        <f t="shared" ref="G44:AI44" ca="1" si="59">IF($A44="","",IF(G$8=0,"",IF(SUM($AL44:$BO44)=0,0,ROUND($BU44*SUM($AL44:AM44)/SUM($AL44:$BO44),0)-ROUND($BU44*SUM($AL44:AL44)/SUM($AL44:$BO44),0))))</f>
        <v/>
      </c>
      <c r="H44" s="75" t="str">
        <f t="shared" ca="1" si="59"/>
        <v/>
      </c>
      <c r="I44" s="75" t="str">
        <f t="shared" ca="1" si="59"/>
        <v/>
      </c>
      <c r="J44" s="75" t="str">
        <f t="shared" ca="1" si="59"/>
        <v/>
      </c>
      <c r="K44" s="75" t="str">
        <f t="shared" ca="1" si="59"/>
        <v/>
      </c>
      <c r="L44" s="75" t="str">
        <f t="shared" ca="1" si="59"/>
        <v/>
      </c>
      <c r="M44" s="75" t="str">
        <f t="shared" ca="1" si="59"/>
        <v/>
      </c>
      <c r="N44" s="75" t="str">
        <f t="shared" ca="1" si="59"/>
        <v/>
      </c>
      <c r="O44" s="75" t="str">
        <f t="shared" ca="1" si="59"/>
        <v/>
      </c>
      <c r="P44" s="75" t="str">
        <f t="shared" ca="1" si="59"/>
        <v/>
      </c>
      <c r="Q44" s="75" t="str">
        <f t="shared" ca="1" si="59"/>
        <v/>
      </c>
      <c r="R44" s="75" t="str">
        <f t="shared" ca="1" si="59"/>
        <v/>
      </c>
      <c r="S44" s="75" t="str">
        <f t="shared" ca="1" si="59"/>
        <v/>
      </c>
      <c r="T44" s="75" t="str">
        <f t="shared" ca="1" si="59"/>
        <v/>
      </c>
      <c r="U44" s="75" t="str">
        <f t="shared" ca="1" si="59"/>
        <v/>
      </c>
      <c r="V44" s="75" t="str">
        <f t="shared" ca="1" si="59"/>
        <v/>
      </c>
      <c r="W44" s="75" t="str">
        <f t="shared" ca="1" si="59"/>
        <v/>
      </c>
      <c r="X44" s="75" t="str">
        <f t="shared" ca="1" si="59"/>
        <v/>
      </c>
      <c r="Y44" s="75" t="str">
        <f t="shared" ca="1" si="59"/>
        <v/>
      </c>
      <c r="Z44" s="75" t="str">
        <f t="shared" ca="1" si="59"/>
        <v/>
      </c>
      <c r="AA44" s="75" t="str">
        <f t="shared" ca="1" si="59"/>
        <v/>
      </c>
      <c r="AB44" s="75" t="str">
        <f t="shared" ca="1" si="59"/>
        <v/>
      </c>
      <c r="AC44" s="75" t="str">
        <f t="shared" ca="1" si="59"/>
        <v/>
      </c>
      <c r="AD44" s="75" t="str">
        <f t="shared" ca="1" si="59"/>
        <v/>
      </c>
      <c r="AE44" s="75" t="str">
        <f t="shared" ca="1" si="59"/>
        <v/>
      </c>
      <c r="AF44" s="75" t="str">
        <f t="shared" ca="1" si="59"/>
        <v/>
      </c>
      <c r="AG44" s="75" t="str">
        <f t="shared" ca="1" si="59"/>
        <v/>
      </c>
      <c r="AH44" s="75" t="str">
        <f t="shared" ca="1" si="59"/>
        <v/>
      </c>
      <c r="AI44" s="75" t="str">
        <f t="shared" ca="1" si="59"/>
        <v/>
      </c>
      <c r="AJ44" s="76" t="str">
        <f t="shared" ca="1" si="8"/>
        <v/>
      </c>
      <c r="AK44" s="76" t="str">
        <f t="shared" ca="1" si="9"/>
        <v/>
      </c>
      <c r="AL44" s="33" t="str">
        <f t="shared" ca="1" si="47"/>
        <v/>
      </c>
      <c r="AM44" s="33" t="str">
        <f t="shared" ca="1" si="47"/>
        <v/>
      </c>
      <c r="AN44" s="33" t="str">
        <f t="shared" ca="1" si="47"/>
        <v/>
      </c>
      <c r="AO44" s="33" t="str">
        <f t="shared" ca="1" si="47"/>
        <v/>
      </c>
      <c r="AP44" s="33" t="str">
        <f t="shared" ca="1" si="47"/>
        <v/>
      </c>
      <c r="AQ44" s="33" t="str">
        <f t="shared" ca="1" si="47"/>
        <v/>
      </c>
      <c r="AR44" s="33" t="str">
        <f t="shared" ca="1" si="47"/>
        <v/>
      </c>
      <c r="AS44" s="33" t="str">
        <f t="shared" ca="1" si="47"/>
        <v/>
      </c>
      <c r="AT44" s="33" t="str">
        <f t="shared" ca="1" si="47"/>
        <v/>
      </c>
      <c r="AU44" s="33" t="str">
        <f t="shared" ca="1" si="47"/>
        <v/>
      </c>
      <c r="AV44" s="33" t="str">
        <f t="shared" ca="1" si="47"/>
        <v/>
      </c>
      <c r="AW44" s="33" t="str">
        <f t="shared" ca="1" si="47"/>
        <v/>
      </c>
      <c r="AX44" s="33" t="str">
        <f t="shared" ca="1" si="47"/>
        <v/>
      </c>
      <c r="AY44" s="33" t="str">
        <f t="shared" ca="1" si="47"/>
        <v/>
      </c>
      <c r="AZ44" s="33" t="str">
        <f t="shared" ca="1" si="47"/>
        <v/>
      </c>
      <c r="BA44" s="33" t="str">
        <f t="shared" ca="1" si="47"/>
        <v/>
      </c>
      <c r="BB44" s="33" t="str">
        <f t="shared" ca="1" si="45"/>
        <v/>
      </c>
      <c r="BC44" s="33" t="str">
        <f t="shared" ca="1" si="45"/>
        <v/>
      </c>
      <c r="BD44" s="33" t="str">
        <f t="shared" ca="1" si="45"/>
        <v/>
      </c>
      <c r="BE44" s="33" t="str">
        <f t="shared" ca="1" si="45"/>
        <v/>
      </c>
      <c r="BF44" s="33" t="str">
        <f t="shared" ca="1" si="45"/>
        <v/>
      </c>
      <c r="BG44" s="33" t="str">
        <f t="shared" ca="1" si="45"/>
        <v/>
      </c>
      <c r="BH44" s="33" t="str">
        <f t="shared" ca="1" si="45"/>
        <v/>
      </c>
      <c r="BI44" s="33" t="str">
        <f t="shared" ca="1" si="55"/>
        <v/>
      </c>
      <c r="BJ44" s="33" t="str">
        <f t="shared" ca="1" si="55"/>
        <v/>
      </c>
      <c r="BK44" s="33" t="str">
        <f t="shared" ca="1" si="55"/>
        <v/>
      </c>
      <c r="BL44" s="33" t="str">
        <f t="shared" ca="1" si="55"/>
        <v/>
      </c>
      <c r="BM44" s="33" t="str">
        <f t="shared" ca="1" si="55"/>
        <v/>
      </c>
      <c r="BN44" s="33" t="str">
        <f t="shared" ca="1" si="55"/>
        <v/>
      </c>
      <c r="BO44" s="33" t="str">
        <f t="shared" ca="1" si="55"/>
        <v/>
      </c>
      <c r="BP44" s="33" t="str">
        <f t="shared" ca="1" si="11"/>
        <v/>
      </c>
      <c r="BQ44" s="78" t="str">
        <f t="shared" ca="1" si="12"/>
        <v/>
      </c>
      <c r="BR44" s="78" t="str">
        <f t="shared" ca="1" si="13"/>
        <v/>
      </c>
      <c r="BS44" s="78" t="str">
        <f t="shared" ca="1" si="14"/>
        <v/>
      </c>
      <c r="BT44" s="78" t="str">
        <f t="shared" ca="1" si="19"/>
        <v/>
      </c>
      <c r="BU44" s="78" t="str">
        <f t="shared" ca="1" si="15"/>
        <v/>
      </c>
      <c r="BV44" s="78" t="str">
        <f t="shared" ca="1" si="16"/>
        <v/>
      </c>
    </row>
    <row r="45" spans="1:74" ht="15.75" customHeight="1" x14ac:dyDescent="0.25">
      <c r="A45" s="71" t="str">
        <f ca="1">IFERROR(__xludf.DUMMYFUNCTION("IFERROR(INDEX(FILTER(T4.2026!$A$2:$A$1000, T4.2026!$A$2:$A$1000&lt;&gt;""""), ROWS($A$9:A45)), """")"),"")</f>
        <v/>
      </c>
      <c r="B45" s="72" t="str">
        <f t="array" aca="1" ref="B45" ca="1">IF($A45="","",IFERROR(_xlfn.XLOOKUP($A45,'T4.2026'!$A$2:$A$1000,'T4.2026'!$B$2:$B$1000),""))</f>
        <v/>
      </c>
      <c r="C45" s="71" t="str">
        <f t="array" aca="1" ref="C45" ca="1">IF($A45="","",IFERROR(_xlfn.XLOOKUP($A45,'T4.2026'!$A$2:$A$1000,'T4.2026'!$C$2:$C$1000),""))</f>
        <v/>
      </c>
      <c r="D45" s="73" t="str">
        <f t="array" aca="1" ref="D45" ca="1">IF($A45="","",ROUND(IFERROR(_xlfn.XLOOKUP($A45,'T4.2026'!$A$2:$A$1000,'T4.2026'!$D$2:$D$1000),0),0))</f>
        <v/>
      </c>
      <c r="E45" s="73" t="str">
        <f t="array" aca="1" ref="E45" ca="1">IF($A45="","",IFERROR(_xlfn.XLOOKUP($A45,'T4.2026'!$A$2:$A$1000,'T4.2026'!$E$2:$E$1000),0))</f>
        <v/>
      </c>
      <c r="F45" s="75" t="str">
        <f t="shared" ca="1" si="6"/>
        <v/>
      </c>
      <c r="G45" s="75" t="str">
        <f t="shared" ref="G45:AI45" ca="1" si="60">IF($A45="","",IF(G$8=0,"",IF(SUM($AL45:$BO45)=0,0,ROUND($BU45*SUM($AL45:AM45)/SUM($AL45:$BO45),0)-ROUND($BU45*SUM($AL45:AL45)/SUM($AL45:$BO45),0))))</f>
        <v/>
      </c>
      <c r="H45" s="75" t="str">
        <f t="shared" ca="1" si="60"/>
        <v/>
      </c>
      <c r="I45" s="75" t="str">
        <f t="shared" ca="1" si="60"/>
        <v/>
      </c>
      <c r="J45" s="75" t="str">
        <f t="shared" ca="1" si="60"/>
        <v/>
      </c>
      <c r="K45" s="75" t="str">
        <f t="shared" ca="1" si="60"/>
        <v/>
      </c>
      <c r="L45" s="75" t="str">
        <f t="shared" ca="1" si="60"/>
        <v/>
      </c>
      <c r="M45" s="75" t="str">
        <f t="shared" ca="1" si="60"/>
        <v/>
      </c>
      <c r="N45" s="75" t="str">
        <f t="shared" ca="1" si="60"/>
        <v/>
      </c>
      <c r="O45" s="75" t="str">
        <f t="shared" ca="1" si="60"/>
        <v/>
      </c>
      <c r="P45" s="75" t="str">
        <f t="shared" ca="1" si="60"/>
        <v/>
      </c>
      <c r="Q45" s="75" t="str">
        <f t="shared" ca="1" si="60"/>
        <v/>
      </c>
      <c r="R45" s="75" t="str">
        <f t="shared" ca="1" si="60"/>
        <v/>
      </c>
      <c r="S45" s="75" t="str">
        <f t="shared" ca="1" si="60"/>
        <v/>
      </c>
      <c r="T45" s="75" t="str">
        <f t="shared" ca="1" si="60"/>
        <v/>
      </c>
      <c r="U45" s="75" t="str">
        <f t="shared" ca="1" si="60"/>
        <v/>
      </c>
      <c r="V45" s="75" t="str">
        <f t="shared" ca="1" si="60"/>
        <v/>
      </c>
      <c r="W45" s="75" t="str">
        <f t="shared" ca="1" si="60"/>
        <v/>
      </c>
      <c r="X45" s="75" t="str">
        <f t="shared" ca="1" si="60"/>
        <v/>
      </c>
      <c r="Y45" s="75" t="str">
        <f t="shared" ca="1" si="60"/>
        <v/>
      </c>
      <c r="Z45" s="75" t="str">
        <f t="shared" ca="1" si="60"/>
        <v/>
      </c>
      <c r="AA45" s="75" t="str">
        <f t="shared" ca="1" si="60"/>
        <v/>
      </c>
      <c r="AB45" s="75" t="str">
        <f t="shared" ca="1" si="60"/>
        <v/>
      </c>
      <c r="AC45" s="75" t="str">
        <f t="shared" ca="1" si="60"/>
        <v/>
      </c>
      <c r="AD45" s="75" t="str">
        <f t="shared" ca="1" si="60"/>
        <v/>
      </c>
      <c r="AE45" s="75" t="str">
        <f t="shared" ca="1" si="60"/>
        <v/>
      </c>
      <c r="AF45" s="75" t="str">
        <f t="shared" ca="1" si="60"/>
        <v/>
      </c>
      <c r="AG45" s="75" t="str">
        <f t="shared" ca="1" si="60"/>
        <v/>
      </c>
      <c r="AH45" s="75" t="str">
        <f t="shared" ca="1" si="60"/>
        <v/>
      </c>
      <c r="AI45" s="75" t="str">
        <f t="shared" ca="1" si="60"/>
        <v/>
      </c>
      <c r="AJ45" s="76" t="str">
        <f t="shared" ca="1" si="8"/>
        <v/>
      </c>
      <c r="AK45" s="76" t="str">
        <f t="shared" ca="1" si="9"/>
        <v/>
      </c>
      <c r="AL45" s="33" t="str">
        <f t="shared" ca="1" si="47"/>
        <v/>
      </c>
      <c r="AM45" s="33" t="str">
        <f t="shared" ca="1" si="47"/>
        <v/>
      </c>
      <c r="AN45" s="33" t="str">
        <f t="shared" ca="1" si="47"/>
        <v/>
      </c>
      <c r="AO45" s="33" t="str">
        <f t="shared" ca="1" si="47"/>
        <v/>
      </c>
      <c r="AP45" s="33" t="str">
        <f t="shared" ca="1" si="47"/>
        <v/>
      </c>
      <c r="AQ45" s="33" t="str">
        <f t="shared" ca="1" si="47"/>
        <v/>
      </c>
      <c r="AR45" s="33" t="str">
        <f t="shared" ca="1" si="47"/>
        <v/>
      </c>
      <c r="AS45" s="33" t="str">
        <f t="shared" ca="1" si="47"/>
        <v/>
      </c>
      <c r="AT45" s="33" t="str">
        <f t="shared" ca="1" si="47"/>
        <v/>
      </c>
      <c r="AU45" s="33" t="str">
        <f t="shared" ca="1" si="47"/>
        <v/>
      </c>
      <c r="AV45" s="33" t="str">
        <f t="shared" ca="1" si="47"/>
        <v/>
      </c>
      <c r="AW45" s="33" t="str">
        <f t="shared" ca="1" si="47"/>
        <v/>
      </c>
      <c r="AX45" s="33" t="str">
        <f t="shared" ca="1" si="47"/>
        <v/>
      </c>
      <c r="AY45" s="33" t="str">
        <f t="shared" ca="1" si="47"/>
        <v/>
      </c>
      <c r="AZ45" s="33" t="str">
        <f t="shared" ca="1" si="47"/>
        <v/>
      </c>
      <c r="BA45" s="33" t="str">
        <f t="shared" ca="1" si="47"/>
        <v/>
      </c>
      <c r="BB45" s="33" t="str">
        <f t="shared" ca="1" si="45"/>
        <v/>
      </c>
      <c r="BC45" s="33" t="str">
        <f t="shared" ca="1" si="45"/>
        <v/>
      </c>
      <c r="BD45" s="33" t="str">
        <f t="shared" ca="1" si="45"/>
        <v/>
      </c>
      <c r="BE45" s="33" t="str">
        <f t="shared" ca="1" si="45"/>
        <v/>
      </c>
      <c r="BF45" s="33" t="str">
        <f t="shared" ca="1" si="45"/>
        <v/>
      </c>
      <c r="BG45" s="33" t="str">
        <f t="shared" ca="1" si="45"/>
        <v/>
      </c>
      <c r="BH45" s="33" t="str">
        <f t="shared" ca="1" si="45"/>
        <v/>
      </c>
      <c r="BI45" s="33" t="str">
        <f t="shared" ca="1" si="55"/>
        <v/>
      </c>
      <c r="BJ45" s="33" t="str">
        <f t="shared" ca="1" si="55"/>
        <v/>
      </c>
      <c r="BK45" s="33" t="str">
        <f t="shared" ca="1" si="55"/>
        <v/>
      </c>
      <c r="BL45" s="33" t="str">
        <f t="shared" ca="1" si="55"/>
        <v/>
      </c>
      <c r="BM45" s="33" t="str">
        <f t="shared" ca="1" si="55"/>
        <v/>
      </c>
      <c r="BN45" s="33" t="str">
        <f t="shared" ca="1" si="55"/>
        <v/>
      </c>
      <c r="BO45" s="33" t="str">
        <f t="shared" ca="1" si="55"/>
        <v/>
      </c>
      <c r="BP45" s="33" t="str">
        <f t="shared" ca="1" si="11"/>
        <v/>
      </c>
      <c r="BQ45" s="78" t="str">
        <f t="shared" ca="1" si="12"/>
        <v/>
      </c>
      <c r="BR45" s="78" t="str">
        <f t="shared" ca="1" si="13"/>
        <v/>
      </c>
      <c r="BS45" s="78" t="str">
        <f t="shared" ca="1" si="14"/>
        <v/>
      </c>
      <c r="BT45" s="78" t="str">
        <f t="shared" ca="1" si="19"/>
        <v/>
      </c>
      <c r="BU45" s="78" t="str">
        <f t="shared" ca="1" si="15"/>
        <v/>
      </c>
      <c r="BV45" s="78" t="str">
        <f t="shared" ca="1" si="16"/>
        <v/>
      </c>
    </row>
    <row r="46" spans="1:74" ht="15.75" customHeight="1" x14ac:dyDescent="0.25">
      <c r="A46" s="71" t="str">
        <f ca="1">IFERROR(__xludf.DUMMYFUNCTION("IFERROR(INDEX(FILTER(T4.2026!$A$2:$A$1000, T4.2026!$A$2:$A$1000&lt;&gt;""""), ROWS($A$9:A46)), """")"),"")</f>
        <v/>
      </c>
      <c r="B46" s="72" t="str">
        <f t="array" aca="1" ref="B46" ca="1">IF($A46="","",IFERROR(_xlfn.XLOOKUP($A46,'T4.2026'!$A$2:$A$1000,'T4.2026'!$B$2:$B$1000),""))</f>
        <v/>
      </c>
      <c r="C46" s="71" t="str">
        <f t="array" aca="1" ref="C46" ca="1">IF($A46="","",IFERROR(_xlfn.XLOOKUP($A46,'T4.2026'!$A$2:$A$1000,'T4.2026'!$C$2:$C$1000),""))</f>
        <v/>
      </c>
      <c r="D46" s="73" t="str">
        <f t="array" aca="1" ref="D46" ca="1">IF($A46="","",ROUND(IFERROR(_xlfn.XLOOKUP($A46,'T4.2026'!$A$2:$A$1000,'T4.2026'!$D$2:$D$1000),0),0))</f>
        <v/>
      </c>
      <c r="E46" s="73" t="str">
        <f t="array" aca="1" ref="E46" ca="1">IF($A46="","",IFERROR(_xlfn.XLOOKUP($A46,'T4.2026'!$A$2:$A$1000,'T4.2026'!$E$2:$E$1000),0))</f>
        <v/>
      </c>
      <c r="F46" s="75" t="str">
        <f t="shared" ca="1" si="6"/>
        <v/>
      </c>
      <c r="G46" s="75" t="str">
        <f t="shared" ref="G46:AI46" ca="1" si="61">IF($A46="","",IF(G$8=0,"",IF(SUM($AL46:$BO46)=0,0,ROUND($BU46*SUM($AL46:AM46)/SUM($AL46:$BO46),0)-ROUND($BU46*SUM($AL46:AL46)/SUM($AL46:$BO46),0))))</f>
        <v/>
      </c>
      <c r="H46" s="75" t="str">
        <f t="shared" ca="1" si="61"/>
        <v/>
      </c>
      <c r="I46" s="75" t="str">
        <f t="shared" ca="1" si="61"/>
        <v/>
      </c>
      <c r="J46" s="75" t="str">
        <f t="shared" ca="1" si="61"/>
        <v/>
      </c>
      <c r="K46" s="75" t="str">
        <f t="shared" ca="1" si="61"/>
        <v/>
      </c>
      <c r="L46" s="75" t="str">
        <f t="shared" ca="1" si="61"/>
        <v/>
      </c>
      <c r="M46" s="75" t="str">
        <f t="shared" ca="1" si="61"/>
        <v/>
      </c>
      <c r="N46" s="75" t="str">
        <f t="shared" ca="1" si="61"/>
        <v/>
      </c>
      <c r="O46" s="75" t="str">
        <f t="shared" ca="1" si="61"/>
        <v/>
      </c>
      <c r="P46" s="75" t="str">
        <f t="shared" ca="1" si="61"/>
        <v/>
      </c>
      <c r="Q46" s="75" t="str">
        <f t="shared" ca="1" si="61"/>
        <v/>
      </c>
      <c r="R46" s="75" t="str">
        <f t="shared" ca="1" si="61"/>
        <v/>
      </c>
      <c r="S46" s="75" t="str">
        <f t="shared" ca="1" si="61"/>
        <v/>
      </c>
      <c r="T46" s="75" t="str">
        <f t="shared" ca="1" si="61"/>
        <v/>
      </c>
      <c r="U46" s="75" t="str">
        <f t="shared" ca="1" si="61"/>
        <v/>
      </c>
      <c r="V46" s="75" t="str">
        <f t="shared" ca="1" si="61"/>
        <v/>
      </c>
      <c r="W46" s="75" t="str">
        <f t="shared" ca="1" si="61"/>
        <v/>
      </c>
      <c r="X46" s="75" t="str">
        <f t="shared" ca="1" si="61"/>
        <v/>
      </c>
      <c r="Y46" s="75" t="str">
        <f t="shared" ca="1" si="61"/>
        <v/>
      </c>
      <c r="Z46" s="75" t="str">
        <f t="shared" ca="1" si="61"/>
        <v/>
      </c>
      <c r="AA46" s="75" t="str">
        <f t="shared" ca="1" si="61"/>
        <v/>
      </c>
      <c r="AB46" s="75" t="str">
        <f t="shared" ca="1" si="61"/>
        <v/>
      </c>
      <c r="AC46" s="75" t="str">
        <f t="shared" ca="1" si="61"/>
        <v/>
      </c>
      <c r="AD46" s="75" t="str">
        <f t="shared" ca="1" si="61"/>
        <v/>
      </c>
      <c r="AE46" s="75" t="str">
        <f t="shared" ca="1" si="61"/>
        <v/>
      </c>
      <c r="AF46" s="75" t="str">
        <f t="shared" ca="1" si="61"/>
        <v/>
      </c>
      <c r="AG46" s="75" t="str">
        <f t="shared" ca="1" si="61"/>
        <v/>
      </c>
      <c r="AH46" s="75" t="str">
        <f t="shared" ca="1" si="61"/>
        <v/>
      </c>
      <c r="AI46" s="75" t="str">
        <f t="shared" ca="1" si="61"/>
        <v/>
      </c>
      <c r="AJ46" s="76" t="str">
        <f t="shared" ca="1" si="8"/>
        <v/>
      </c>
      <c r="AK46" s="76" t="str">
        <f t="shared" ca="1" si="9"/>
        <v/>
      </c>
      <c r="AL46" s="33" t="str">
        <f t="shared" ca="1" si="47"/>
        <v/>
      </c>
      <c r="AM46" s="33" t="str">
        <f t="shared" ca="1" si="47"/>
        <v/>
      </c>
      <c r="AN46" s="33" t="str">
        <f t="shared" ca="1" si="47"/>
        <v/>
      </c>
      <c r="AO46" s="33" t="str">
        <f t="shared" ca="1" si="47"/>
        <v/>
      </c>
      <c r="AP46" s="33" t="str">
        <f t="shared" ca="1" si="47"/>
        <v/>
      </c>
      <c r="AQ46" s="33" t="str">
        <f t="shared" ca="1" si="47"/>
        <v/>
      </c>
      <c r="AR46" s="33" t="str">
        <f t="shared" ca="1" si="47"/>
        <v/>
      </c>
      <c r="AS46" s="33" t="str">
        <f t="shared" ca="1" si="47"/>
        <v/>
      </c>
      <c r="AT46" s="33" t="str">
        <f t="shared" ca="1" si="47"/>
        <v/>
      </c>
      <c r="AU46" s="33" t="str">
        <f t="shared" ca="1" si="47"/>
        <v/>
      </c>
      <c r="AV46" s="33" t="str">
        <f t="shared" ca="1" si="47"/>
        <v/>
      </c>
      <c r="AW46" s="33" t="str">
        <f t="shared" ca="1" si="47"/>
        <v/>
      </c>
      <c r="AX46" s="33" t="str">
        <f t="shared" ca="1" si="47"/>
        <v/>
      </c>
      <c r="AY46" s="33" t="str">
        <f t="shared" ca="1" si="47"/>
        <v/>
      </c>
      <c r="AZ46" s="33" t="str">
        <f t="shared" ca="1" si="47"/>
        <v/>
      </c>
      <c r="BA46" s="33" t="str">
        <f t="shared" ca="1" si="47"/>
        <v/>
      </c>
      <c r="BB46" s="33" t="str">
        <f t="shared" ca="1" si="45"/>
        <v/>
      </c>
      <c r="BC46" s="33" t="str">
        <f t="shared" ca="1" si="45"/>
        <v/>
      </c>
      <c r="BD46" s="33" t="str">
        <f t="shared" ca="1" si="45"/>
        <v/>
      </c>
      <c r="BE46" s="33" t="str">
        <f t="shared" ca="1" si="45"/>
        <v/>
      </c>
      <c r="BF46" s="33" t="str">
        <f t="shared" ca="1" si="45"/>
        <v/>
      </c>
      <c r="BG46" s="33" t="str">
        <f t="shared" ca="1" si="45"/>
        <v/>
      </c>
      <c r="BH46" s="33" t="str">
        <f t="shared" ca="1" si="45"/>
        <v/>
      </c>
      <c r="BI46" s="33" t="str">
        <f t="shared" ca="1" si="55"/>
        <v/>
      </c>
      <c r="BJ46" s="33" t="str">
        <f t="shared" ca="1" si="55"/>
        <v/>
      </c>
      <c r="BK46" s="33" t="str">
        <f t="shared" ca="1" si="55"/>
        <v/>
      </c>
      <c r="BL46" s="33" t="str">
        <f t="shared" ca="1" si="55"/>
        <v/>
      </c>
      <c r="BM46" s="33" t="str">
        <f t="shared" ca="1" si="55"/>
        <v/>
      </c>
      <c r="BN46" s="33" t="str">
        <f t="shared" ca="1" si="55"/>
        <v/>
      </c>
      <c r="BO46" s="33" t="str">
        <f t="shared" ca="1" si="55"/>
        <v/>
      </c>
      <c r="BP46" s="33" t="str">
        <f t="shared" ca="1" si="11"/>
        <v/>
      </c>
      <c r="BQ46" s="78" t="str">
        <f t="shared" ca="1" si="12"/>
        <v/>
      </c>
      <c r="BR46" s="78" t="str">
        <f t="shared" ca="1" si="13"/>
        <v/>
      </c>
      <c r="BS46" s="78" t="str">
        <f t="shared" ca="1" si="14"/>
        <v/>
      </c>
      <c r="BT46" s="78" t="str">
        <f t="shared" ca="1" si="19"/>
        <v/>
      </c>
      <c r="BU46" s="78" t="str">
        <f t="shared" ca="1" si="15"/>
        <v/>
      </c>
      <c r="BV46" s="78" t="str">
        <f t="shared" ca="1" si="16"/>
        <v/>
      </c>
    </row>
    <row r="47" spans="1:74" ht="15.75" customHeight="1" x14ac:dyDescent="0.25">
      <c r="A47" s="71" t="str">
        <f ca="1">IFERROR(__xludf.DUMMYFUNCTION("IFERROR(INDEX(FILTER(T4.2026!$A$2:$A$1000, T4.2026!$A$2:$A$1000&lt;&gt;""""), ROWS($A$9:A47)), """")"),"")</f>
        <v/>
      </c>
      <c r="B47" s="72" t="str">
        <f t="array" aca="1" ref="B47" ca="1">IF($A47="","",IFERROR(_xlfn.XLOOKUP($A47,'T4.2026'!$A$2:$A$1000,'T4.2026'!$B$2:$B$1000),""))</f>
        <v/>
      </c>
      <c r="C47" s="71" t="str">
        <f t="array" aca="1" ref="C47" ca="1">IF($A47="","",IFERROR(_xlfn.XLOOKUP($A47,'T4.2026'!$A$2:$A$1000,'T4.2026'!$C$2:$C$1000),""))</f>
        <v/>
      </c>
      <c r="D47" s="73" t="str">
        <f t="array" aca="1" ref="D47" ca="1">IF($A47="","",ROUND(IFERROR(_xlfn.XLOOKUP($A47,'T4.2026'!$A$2:$A$1000,'T4.2026'!$D$2:$D$1000),0),0))</f>
        <v/>
      </c>
      <c r="E47" s="73" t="str">
        <f t="array" aca="1" ref="E47" ca="1">IF($A47="","",IFERROR(_xlfn.XLOOKUP($A47,'T4.2026'!$A$2:$A$1000,'T4.2026'!$E$2:$E$1000),0))</f>
        <v/>
      </c>
      <c r="F47" s="75" t="str">
        <f t="shared" ca="1" si="6"/>
        <v/>
      </c>
      <c r="G47" s="75" t="str">
        <f t="shared" ref="G47:AI47" ca="1" si="62">IF($A47="","",IF(G$8=0,"",IF(SUM($AL47:$BO47)=0,0,ROUND($BU47*SUM($AL47:AM47)/SUM($AL47:$BO47),0)-ROUND($BU47*SUM($AL47:AL47)/SUM($AL47:$BO47),0))))</f>
        <v/>
      </c>
      <c r="H47" s="75" t="str">
        <f t="shared" ca="1" si="62"/>
        <v/>
      </c>
      <c r="I47" s="75" t="str">
        <f t="shared" ca="1" si="62"/>
        <v/>
      </c>
      <c r="J47" s="75" t="str">
        <f t="shared" ca="1" si="62"/>
        <v/>
      </c>
      <c r="K47" s="75" t="str">
        <f t="shared" ca="1" si="62"/>
        <v/>
      </c>
      <c r="L47" s="75" t="str">
        <f t="shared" ca="1" si="62"/>
        <v/>
      </c>
      <c r="M47" s="75" t="str">
        <f t="shared" ca="1" si="62"/>
        <v/>
      </c>
      <c r="N47" s="75" t="str">
        <f t="shared" ca="1" si="62"/>
        <v/>
      </c>
      <c r="O47" s="75" t="str">
        <f t="shared" ca="1" si="62"/>
        <v/>
      </c>
      <c r="P47" s="75" t="str">
        <f t="shared" ca="1" si="62"/>
        <v/>
      </c>
      <c r="Q47" s="75" t="str">
        <f t="shared" ca="1" si="62"/>
        <v/>
      </c>
      <c r="R47" s="75" t="str">
        <f t="shared" ca="1" si="62"/>
        <v/>
      </c>
      <c r="S47" s="75" t="str">
        <f t="shared" ca="1" si="62"/>
        <v/>
      </c>
      <c r="T47" s="75" t="str">
        <f t="shared" ca="1" si="62"/>
        <v/>
      </c>
      <c r="U47" s="75" t="str">
        <f t="shared" ca="1" si="62"/>
        <v/>
      </c>
      <c r="V47" s="75" t="str">
        <f t="shared" ca="1" si="62"/>
        <v/>
      </c>
      <c r="W47" s="75" t="str">
        <f t="shared" ca="1" si="62"/>
        <v/>
      </c>
      <c r="X47" s="75" t="str">
        <f t="shared" ca="1" si="62"/>
        <v/>
      </c>
      <c r="Y47" s="75" t="str">
        <f t="shared" ca="1" si="62"/>
        <v/>
      </c>
      <c r="Z47" s="75" t="str">
        <f t="shared" ca="1" si="62"/>
        <v/>
      </c>
      <c r="AA47" s="75" t="str">
        <f t="shared" ca="1" si="62"/>
        <v/>
      </c>
      <c r="AB47" s="75" t="str">
        <f t="shared" ca="1" si="62"/>
        <v/>
      </c>
      <c r="AC47" s="75" t="str">
        <f t="shared" ca="1" si="62"/>
        <v/>
      </c>
      <c r="AD47" s="75" t="str">
        <f t="shared" ca="1" si="62"/>
        <v/>
      </c>
      <c r="AE47" s="75" t="str">
        <f t="shared" ca="1" si="62"/>
        <v/>
      </c>
      <c r="AF47" s="75" t="str">
        <f t="shared" ca="1" si="62"/>
        <v/>
      </c>
      <c r="AG47" s="75" t="str">
        <f t="shared" ca="1" si="62"/>
        <v/>
      </c>
      <c r="AH47" s="75" t="str">
        <f t="shared" ca="1" si="62"/>
        <v/>
      </c>
      <c r="AI47" s="75" t="str">
        <f t="shared" ca="1" si="62"/>
        <v/>
      </c>
      <c r="AJ47" s="76" t="str">
        <f t="shared" ca="1" si="8"/>
        <v/>
      </c>
      <c r="AK47" s="76" t="str">
        <f t="shared" ca="1" si="9"/>
        <v/>
      </c>
      <c r="AL47" s="33" t="str">
        <f t="shared" ca="1" si="47"/>
        <v/>
      </c>
      <c r="AM47" s="33" t="str">
        <f t="shared" ca="1" si="47"/>
        <v/>
      </c>
      <c r="AN47" s="33" t="str">
        <f t="shared" ca="1" si="47"/>
        <v/>
      </c>
      <c r="AO47" s="33" t="str">
        <f t="shared" ca="1" si="47"/>
        <v/>
      </c>
      <c r="AP47" s="33" t="str">
        <f t="shared" ca="1" si="47"/>
        <v/>
      </c>
      <c r="AQ47" s="33" t="str">
        <f t="shared" ca="1" si="47"/>
        <v/>
      </c>
      <c r="AR47" s="33" t="str">
        <f t="shared" ca="1" si="47"/>
        <v/>
      </c>
      <c r="AS47" s="33" t="str">
        <f t="shared" ca="1" si="47"/>
        <v/>
      </c>
      <c r="AT47" s="33" t="str">
        <f t="shared" ca="1" si="47"/>
        <v/>
      </c>
      <c r="AU47" s="33" t="str">
        <f t="shared" ca="1" si="47"/>
        <v/>
      </c>
      <c r="AV47" s="33" t="str">
        <f t="shared" ca="1" si="47"/>
        <v/>
      </c>
      <c r="AW47" s="33" t="str">
        <f t="shared" ca="1" si="47"/>
        <v/>
      </c>
      <c r="AX47" s="33" t="str">
        <f t="shared" ca="1" si="47"/>
        <v/>
      </c>
      <c r="AY47" s="33" t="str">
        <f t="shared" ca="1" si="47"/>
        <v/>
      </c>
      <c r="AZ47" s="33" t="str">
        <f t="shared" ca="1" si="47"/>
        <v/>
      </c>
      <c r="BA47" s="33" t="str">
        <f t="shared" ca="1" si="47"/>
        <v/>
      </c>
      <c r="BB47" s="33" t="str">
        <f t="shared" ca="1" si="45"/>
        <v/>
      </c>
      <c r="BC47" s="33" t="str">
        <f t="shared" ca="1" si="45"/>
        <v/>
      </c>
      <c r="BD47" s="33" t="str">
        <f t="shared" ca="1" si="45"/>
        <v/>
      </c>
      <c r="BE47" s="33" t="str">
        <f t="shared" ca="1" si="45"/>
        <v/>
      </c>
      <c r="BF47" s="33" t="str">
        <f t="shared" ca="1" si="45"/>
        <v/>
      </c>
      <c r="BG47" s="33" t="str">
        <f t="shared" ca="1" si="45"/>
        <v/>
      </c>
      <c r="BH47" s="33" t="str">
        <f t="shared" ca="1" si="45"/>
        <v/>
      </c>
      <c r="BI47" s="33" t="str">
        <f t="shared" ca="1" si="55"/>
        <v/>
      </c>
      <c r="BJ47" s="33" t="str">
        <f t="shared" ca="1" si="55"/>
        <v/>
      </c>
      <c r="BK47" s="33" t="str">
        <f t="shared" ca="1" si="55"/>
        <v/>
      </c>
      <c r="BL47" s="33" t="str">
        <f t="shared" ca="1" si="55"/>
        <v/>
      </c>
      <c r="BM47" s="33" t="str">
        <f t="shared" ca="1" si="55"/>
        <v/>
      </c>
      <c r="BN47" s="33" t="str">
        <f t="shared" ca="1" si="55"/>
        <v/>
      </c>
      <c r="BO47" s="33" t="str">
        <f t="shared" ca="1" si="55"/>
        <v/>
      </c>
      <c r="BP47" s="33" t="str">
        <f t="shared" ca="1" si="11"/>
        <v/>
      </c>
      <c r="BQ47" s="78" t="str">
        <f t="shared" ca="1" si="12"/>
        <v/>
      </c>
      <c r="BR47" s="78" t="str">
        <f t="shared" ca="1" si="13"/>
        <v/>
      </c>
      <c r="BS47" s="78" t="str">
        <f t="shared" ca="1" si="14"/>
        <v/>
      </c>
      <c r="BT47" s="78" t="str">
        <f t="shared" ca="1" si="19"/>
        <v/>
      </c>
      <c r="BU47" s="78" t="str">
        <f t="shared" ca="1" si="15"/>
        <v/>
      </c>
      <c r="BV47" s="78" t="str">
        <f t="shared" ca="1" si="16"/>
        <v/>
      </c>
    </row>
    <row r="48" spans="1:74" ht="15.75" customHeight="1" x14ac:dyDescent="0.25">
      <c r="A48" s="71" t="str">
        <f ca="1">IFERROR(__xludf.DUMMYFUNCTION("IFERROR(INDEX(FILTER(T4.2026!$A$2:$A$1000, T4.2026!$A$2:$A$1000&lt;&gt;""""), ROWS($A$9:A48)), """")"),"")</f>
        <v/>
      </c>
      <c r="B48" s="72" t="str">
        <f t="array" aca="1" ref="B48" ca="1">IF($A48="","",IFERROR(_xlfn.XLOOKUP($A48,'T4.2026'!$A$2:$A$1000,'T4.2026'!$B$2:$B$1000),""))</f>
        <v/>
      </c>
      <c r="C48" s="71" t="str">
        <f t="array" aca="1" ref="C48" ca="1">IF($A48="","",IFERROR(_xlfn.XLOOKUP($A48,'T4.2026'!$A$2:$A$1000,'T4.2026'!$C$2:$C$1000),""))</f>
        <v/>
      </c>
      <c r="D48" s="73" t="str">
        <f t="array" aca="1" ref="D48" ca="1">IF($A48="","",ROUND(IFERROR(_xlfn.XLOOKUP($A48,'T4.2026'!$A$2:$A$1000,'T4.2026'!$D$2:$D$1000),0),0))</f>
        <v/>
      </c>
      <c r="E48" s="73" t="str">
        <f t="array" aca="1" ref="E48" ca="1">IF($A48="","",IFERROR(_xlfn.XLOOKUP($A48,'T4.2026'!$A$2:$A$1000,'T4.2026'!$E$2:$E$1000),0))</f>
        <v/>
      </c>
      <c r="F48" s="75" t="str">
        <f t="shared" ca="1" si="6"/>
        <v/>
      </c>
      <c r="G48" s="75" t="str">
        <f t="shared" ref="G48:AI48" ca="1" si="63">IF($A48="","",IF(G$8=0,"",IF(SUM($AL48:$BO48)=0,0,ROUND($BU48*SUM($AL48:AM48)/SUM($AL48:$BO48),0)-ROUND($BU48*SUM($AL48:AL48)/SUM($AL48:$BO48),0))))</f>
        <v/>
      </c>
      <c r="H48" s="75" t="str">
        <f t="shared" ca="1" si="63"/>
        <v/>
      </c>
      <c r="I48" s="75" t="str">
        <f t="shared" ca="1" si="63"/>
        <v/>
      </c>
      <c r="J48" s="75" t="str">
        <f t="shared" ca="1" si="63"/>
        <v/>
      </c>
      <c r="K48" s="75" t="str">
        <f t="shared" ca="1" si="63"/>
        <v/>
      </c>
      <c r="L48" s="75" t="str">
        <f t="shared" ca="1" si="63"/>
        <v/>
      </c>
      <c r="M48" s="75" t="str">
        <f t="shared" ca="1" si="63"/>
        <v/>
      </c>
      <c r="N48" s="75" t="str">
        <f t="shared" ca="1" si="63"/>
        <v/>
      </c>
      <c r="O48" s="75" t="str">
        <f t="shared" ca="1" si="63"/>
        <v/>
      </c>
      <c r="P48" s="75" t="str">
        <f t="shared" ca="1" si="63"/>
        <v/>
      </c>
      <c r="Q48" s="75" t="str">
        <f t="shared" ca="1" si="63"/>
        <v/>
      </c>
      <c r="R48" s="75" t="str">
        <f t="shared" ca="1" si="63"/>
        <v/>
      </c>
      <c r="S48" s="75" t="str">
        <f t="shared" ca="1" si="63"/>
        <v/>
      </c>
      <c r="T48" s="75" t="str">
        <f t="shared" ca="1" si="63"/>
        <v/>
      </c>
      <c r="U48" s="75" t="str">
        <f t="shared" ca="1" si="63"/>
        <v/>
      </c>
      <c r="V48" s="75" t="str">
        <f t="shared" ca="1" si="63"/>
        <v/>
      </c>
      <c r="W48" s="75" t="str">
        <f t="shared" ca="1" si="63"/>
        <v/>
      </c>
      <c r="X48" s="75" t="str">
        <f t="shared" ca="1" si="63"/>
        <v/>
      </c>
      <c r="Y48" s="75" t="str">
        <f t="shared" ca="1" si="63"/>
        <v/>
      </c>
      <c r="Z48" s="75" t="str">
        <f t="shared" ca="1" si="63"/>
        <v/>
      </c>
      <c r="AA48" s="75" t="str">
        <f t="shared" ca="1" si="63"/>
        <v/>
      </c>
      <c r="AB48" s="75" t="str">
        <f t="shared" ca="1" si="63"/>
        <v/>
      </c>
      <c r="AC48" s="75" t="str">
        <f t="shared" ca="1" si="63"/>
        <v/>
      </c>
      <c r="AD48" s="75" t="str">
        <f t="shared" ca="1" si="63"/>
        <v/>
      </c>
      <c r="AE48" s="75" t="str">
        <f t="shared" ca="1" si="63"/>
        <v/>
      </c>
      <c r="AF48" s="75" t="str">
        <f t="shared" ca="1" si="63"/>
        <v/>
      </c>
      <c r="AG48" s="75" t="str">
        <f t="shared" ca="1" si="63"/>
        <v/>
      </c>
      <c r="AH48" s="75" t="str">
        <f t="shared" ca="1" si="63"/>
        <v/>
      </c>
      <c r="AI48" s="75" t="str">
        <f t="shared" ca="1" si="63"/>
        <v/>
      </c>
      <c r="AJ48" s="76" t="str">
        <f t="shared" ca="1" si="8"/>
        <v/>
      </c>
      <c r="AK48" s="76" t="str">
        <f t="shared" ca="1" si="9"/>
        <v/>
      </c>
      <c r="AL48" s="33" t="str">
        <f t="shared" ca="1" si="47"/>
        <v/>
      </c>
      <c r="AM48" s="33" t="str">
        <f t="shared" ca="1" si="47"/>
        <v/>
      </c>
      <c r="AN48" s="33" t="str">
        <f t="shared" ca="1" si="47"/>
        <v/>
      </c>
      <c r="AO48" s="33" t="str">
        <f t="shared" ca="1" si="47"/>
        <v/>
      </c>
      <c r="AP48" s="33" t="str">
        <f t="shared" ca="1" si="47"/>
        <v/>
      </c>
      <c r="AQ48" s="33" t="str">
        <f t="shared" ca="1" si="47"/>
        <v/>
      </c>
      <c r="AR48" s="33" t="str">
        <f t="shared" ca="1" si="47"/>
        <v/>
      </c>
      <c r="AS48" s="33" t="str">
        <f t="shared" ca="1" si="47"/>
        <v/>
      </c>
      <c r="AT48" s="33" t="str">
        <f t="shared" ca="1" si="47"/>
        <v/>
      </c>
      <c r="AU48" s="33" t="str">
        <f t="shared" ca="1" si="47"/>
        <v/>
      </c>
      <c r="AV48" s="33" t="str">
        <f t="shared" ca="1" si="47"/>
        <v/>
      </c>
      <c r="AW48" s="33" t="str">
        <f t="shared" ca="1" si="47"/>
        <v/>
      </c>
      <c r="AX48" s="33" t="str">
        <f t="shared" ca="1" si="47"/>
        <v/>
      </c>
      <c r="AY48" s="33" t="str">
        <f t="shared" ca="1" si="47"/>
        <v/>
      </c>
      <c r="AZ48" s="33" t="str">
        <f t="shared" ca="1" si="47"/>
        <v/>
      </c>
      <c r="BA48" s="33" t="str">
        <f t="shared" ca="1" si="47"/>
        <v/>
      </c>
      <c r="BB48" s="33" t="str">
        <f t="shared" ca="1" si="45"/>
        <v/>
      </c>
      <c r="BC48" s="33" t="str">
        <f t="shared" ca="1" si="45"/>
        <v/>
      </c>
      <c r="BD48" s="33" t="str">
        <f t="shared" ca="1" si="45"/>
        <v/>
      </c>
      <c r="BE48" s="33" t="str">
        <f t="shared" ca="1" si="45"/>
        <v/>
      </c>
      <c r="BF48" s="33" t="str">
        <f t="shared" ca="1" si="45"/>
        <v/>
      </c>
      <c r="BG48" s="33" t="str">
        <f t="shared" ca="1" si="45"/>
        <v/>
      </c>
      <c r="BH48" s="33" t="str">
        <f t="shared" ca="1" si="45"/>
        <v/>
      </c>
      <c r="BI48" s="33" t="str">
        <f t="shared" ca="1" si="55"/>
        <v/>
      </c>
      <c r="BJ48" s="33" t="str">
        <f t="shared" ca="1" si="55"/>
        <v/>
      </c>
      <c r="BK48" s="33" t="str">
        <f t="shared" ca="1" si="55"/>
        <v/>
      </c>
      <c r="BL48" s="33" t="str">
        <f t="shared" ca="1" si="55"/>
        <v/>
      </c>
      <c r="BM48" s="33" t="str">
        <f t="shared" ca="1" si="55"/>
        <v/>
      </c>
      <c r="BN48" s="33" t="str">
        <f t="shared" ca="1" si="55"/>
        <v/>
      </c>
      <c r="BO48" s="33" t="str">
        <f t="shared" ca="1" si="55"/>
        <v/>
      </c>
      <c r="BP48" s="33" t="str">
        <f t="shared" ca="1" si="11"/>
        <v/>
      </c>
      <c r="BQ48" s="78" t="str">
        <f t="shared" ca="1" si="12"/>
        <v/>
      </c>
      <c r="BR48" s="78" t="str">
        <f t="shared" ca="1" si="13"/>
        <v/>
      </c>
      <c r="BS48" s="78" t="str">
        <f t="shared" ca="1" si="14"/>
        <v/>
      </c>
      <c r="BT48" s="78" t="str">
        <f t="shared" ca="1" si="19"/>
        <v/>
      </c>
      <c r="BU48" s="78" t="str">
        <f t="shared" ca="1" si="15"/>
        <v/>
      </c>
      <c r="BV48" s="78" t="str">
        <f t="shared" ca="1" si="16"/>
        <v/>
      </c>
    </row>
    <row r="49" spans="1:74" ht="15.75" customHeight="1" x14ac:dyDescent="0.25">
      <c r="A49" s="71" t="str">
        <f ca="1">IFERROR(__xludf.DUMMYFUNCTION("IFERROR(INDEX(FILTER(T4.2026!$A$2:$A$1000, T4.2026!$A$2:$A$1000&lt;&gt;""""), ROWS($A$9:A49)), """")"),"")</f>
        <v/>
      </c>
      <c r="B49" s="72" t="str">
        <f t="array" aca="1" ref="B49" ca="1">IF($A49="","",IFERROR(_xlfn.XLOOKUP($A49,'T4.2026'!$A$2:$A$1000,'T4.2026'!$B$2:$B$1000),""))</f>
        <v/>
      </c>
      <c r="C49" s="71" t="str">
        <f t="array" aca="1" ref="C49" ca="1">IF($A49="","",IFERROR(_xlfn.XLOOKUP($A49,'T4.2026'!$A$2:$A$1000,'T4.2026'!$C$2:$C$1000),""))</f>
        <v/>
      </c>
      <c r="D49" s="73" t="str">
        <f t="array" aca="1" ref="D49" ca="1">IF($A49="","",ROUND(IFERROR(_xlfn.XLOOKUP($A49,'T4.2026'!$A$2:$A$1000,'T4.2026'!$D$2:$D$1000),0),0))</f>
        <v/>
      </c>
      <c r="E49" s="73" t="str">
        <f t="array" aca="1" ref="E49" ca="1">IF($A49="","",IFERROR(_xlfn.XLOOKUP($A49,'T4.2026'!$A$2:$A$1000,'T4.2026'!$E$2:$E$1000),0))</f>
        <v/>
      </c>
      <c r="F49" s="75" t="str">
        <f t="shared" ca="1" si="6"/>
        <v/>
      </c>
      <c r="G49" s="75" t="str">
        <f t="shared" ref="G49:AI49" ca="1" si="64">IF($A49="","",IF(G$8=0,"",IF(SUM($AL49:$BO49)=0,0,ROUND($BU49*SUM($AL49:AM49)/SUM($AL49:$BO49),0)-ROUND($BU49*SUM($AL49:AL49)/SUM($AL49:$BO49),0))))</f>
        <v/>
      </c>
      <c r="H49" s="75" t="str">
        <f t="shared" ca="1" si="64"/>
        <v/>
      </c>
      <c r="I49" s="75" t="str">
        <f t="shared" ca="1" si="64"/>
        <v/>
      </c>
      <c r="J49" s="75" t="str">
        <f t="shared" ca="1" si="64"/>
        <v/>
      </c>
      <c r="K49" s="75" t="str">
        <f t="shared" ca="1" si="64"/>
        <v/>
      </c>
      <c r="L49" s="75" t="str">
        <f t="shared" ca="1" si="64"/>
        <v/>
      </c>
      <c r="M49" s="75" t="str">
        <f t="shared" ca="1" si="64"/>
        <v/>
      </c>
      <c r="N49" s="75" t="str">
        <f t="shared" ca="1" si="64"/>
        <v/>
      </c>
      <c r="O49" s="75" t="str">
        <f t="shared" ca="1" si="64"/>
        <v/>
      </c>
      <c r="P49" s="75" t="str">
        <f t="shared" ca="1" si="64"/>
        <v/>
      </c>
      <c r="Q49" s="75" t="str">
        <f t="shared" ca="1" si="64"/>
        <v/>
      </c>
      <c r="R49" s="75" t="str">
        <f t="shared" ca="1" si="64"/>
        <v/>
      </c>
      <c r="S49" s="75" t="str">
        <f t="shared" ca="1" si="64"/>
        <v/>
      </c>
      <c r="T49" s="75" t="str">
        <f t="shared" ca="1" si="64"/>
        <v/>
      </c>
      <c r="U49" s="75" t="str">
        <f t="shared" ca="1" si="64"/>
        <v/>
      </c>
      <c r="V49" s="75" t="str">
        <f t="shared" ca="1" si="64"/>
        <v/>
      </c>
      <c r="W49" s="75" t="str">
        <f t="shared" ca="1" si="64"/>
        <v/>
      </c>
      <c r="X49" s="75" t="str">
        <f t="shared" ca="1" si="64"/>
        <v/>
      </c>
      <c r="Y49" s="75" t="str">
        <f t="shared" ca="1" si="64"/>
        <v/>
      </c>
      <c r="Z49" s="75" t="str">
        <f t="shared" ca="1" si="64"/>
        <v/>
      </c>
      <c r="AA49" s="75" t="str">
        <f t="shared" ca="1" si="64"/>
        <v/>
      </c>
      <c r="AB49" s="75" t="str">
        <f t="shared" ca="1" si="64"/>
        <v/>
      </c>
      <c r="AC49" s="75" t="str">
        <f t="shared" ca="1" si="64"/>
        <v/>
      </c>
      <c r="AD49" s="75" t="str">
        <f t="shared" ca="1" si="64"/>
        <v/>
      </c>
      <c r="AE49" s="75" t="str">
        <f t="shared" ca="1" si="64"/>
        <v/>
      </c>
      <c r="AF49" s="75" t="str">
        <f t="shared" ca="1" si="64"/>
        <v/>
      </c>
      <c r="AG49" s="75" t="str">
        <f t="shared" ca="1" si="64"/>
        <v/>
      </c>
      <c r="AH49" s="75" t="str">
        <f t="shared" ca="1" si="64"/>
        <v/>
      </c>
      <c r="AI49" s="75" t="str">
        <f t="shared" ca="1" si="64"/>
        <v/>
      </c>
      <c r="AJ49" s="76" t="str">
        <f t="shared" ca="1" si="8"/>
        <v/>
      </c>
      <c r="AK49" s="76" t="str">
        <f t="shared" ca="1" si="9"/>
        <v/>
      </c>
      <c r="AL49" s="33" t="str">
        <f t="shared" ca="1" si="47"/>
        <v/>
      </c>
      <c r="AM49" s="33" t="str">
        <f t="shared" ca="1" si="47"/>
        <v/>
      </c>
      <c r="AN49" s="33" t="str">
        <f t="shared" ca="1" si="47"/>
        <v/>
      </c>
      <c r="AO49" s="33" t="str">
        <f t="shared" ca="1" si="47"/>
        <v/>
      </c>
      <c r="AP49" s="33" t="str">
        <f t="shared" ca="1" si="47"/>
        <v/>
      </c>
      <c r="AQ49" s="33" t="str">
        <f t="shared" ca="1" si="47"/>
        <v/>
      </c>
      <c r="AR49" s="33" t="str">
        <f t="shared" ca="1" si="47"/>
        <v/>
      </c>
      <c r="AS49" s="33" t="str">
        <f t="shared" ca="1" si="47"/>
        <v/>
      </c>
      <c r="AT49" s="33" t="str">
        <f t="shared" ca="1" si="47"/>
        <v/>
      </c>
      <c r="AU49" s="33" t="str">
        <f t="shared" ca="1" si="47"/>
        <v/>
      </c>
      <c r="AV49" s="33" t="str">
        <f t="shared" ca="1" si="47"/>
        <v/>
      </c>
      <c r="AW49" s="33" t="str">
        <f t="shared" ca="1" si="47"/>
        <v/>
      </c>
      <c r="AX49" s="33" t="str">
        <f t="shared" ca="1" si="47"/>
        <v/>
      </c>
      <c r="AY49" s="33" t="str">
        <f t="shared" ca="1" si="47"/>
        <v/>
      </c>
      <c r="AZ49" s="33" t="str">
        <f t="shared" ca="1" si="47"/>
        <v/>
      </c>
      <c r="BA49" s="33" t="str">
        <f t="shared" ref="BA49:BO83" ca="1" si="65">IF($A49="","",IF((COLUMN()-COLUMN($AL$9))&gt;($B$3-1),0,MAX(0.1,1+$D$3*(0.6*(2*MOD(ABS(SIN((COLUMN()-COLUMN($AL$9)+1)*12.9898+$B$2*0.0001))*43758.5453,1)-1)+0.4*SIN(($BV49+COLUMN()-COLUMN($AL$9))*2*PI()/7)))))</f>
        <v/>
      </c>
      <c r="BB49" s="33" t="str">
        <f t="shared" ca="1" si="65"/>
        <v/>
      </c>
      <c r="BC49" s="33" t="str">
        <f t="shared" ca="1" si="65"/>
        <v/>
      </c>
      <c r="BD49" s="33" t="str">
        <f t="shared" ca="1" si="65"/>
        <v/>
      </c>
      <c r="BE49" s="33" t="str">
        <f t="shared" ca="1" si="65"/>
        <v/>
      </c>
      <c r="BF49" s="33" t="str">
        <f t="shared" ca="1" si="65"/>
        <v/>
      </c>
      <c r="BG49" s="33" t="str">
        <f t="shared" ca="1" si="65"/>
        <v/>
      </c>
      <c r="BH49" s="33" t="str">
        <f t="shared" ca="1" si="65"/>
        <v/>
      </c>
      <c r="BI49" s="33" t="str">
        <f t="shared" ca="1" si="65"/>
        <v/>
      </c>
      <c r="BJ49" s="33" t="str">
        <f t="shared" ca="1" si="65"/>
        <v/>
      </c>
      <c r="BK49" s="33" t="str">
        <f t="shared" ca="1" si="65"/>
        <v/>
      </c>
      <c r="BL49" s="33" t="str">
        <f t="shared" ca="1" si="65"/>
        <v/>
      </c>
      <c r="BM49" s="33" t="str">
        <f t="shared" ca="1" si="65"/>
        <v/>
      </c>
      <c r="BN49" s="33" t="str">
        <f t="shared" ca="1" si="65"/>
        <v/>
      </c>
      <c r="BO49" s="33" t="str">
        <f t="shared" ca="1" si="65"/>
        <v/>
      </c>
      <c r="BP49" s="33" t="str">
        <f t="shared" ca="1" si="11"/>
        <v/>
      </c>
      <c r="BQ49" s="78" t="str">
        <f t="shared" ca="1" si="12"/>
        <v/>
      </c>
      <c r="BR49" s="78" t="str">
        <f t="shared" ca="1" si="13"/>
        <v/>
      </c>
      <c r="BS49" s="78" t="str">
        <f t="shared" ca="1" si="14"/>
        <v/>
      </c>
      <c r="BT49" s="78" t="str">
        <f t="shared" ca="1" si="19"/>
        <v/>
      </c>
      <c r="BU49" s="78" t="str">
        <f t="shared" ca="1" si="15"/>
        <v/>
      </c>
      <c r="BV49" s="78" t="str">
        <f t="shared" ca="1" si="16"/>
        <v/>
      </c>
    </row>
    <row r="50" spans="1:74" ht="15.75" customHeight="1" x14ac:dyDescent="0.25">
      <c r="A50" s="71" t="str">
        <f ca="1">IFERROR(__xludf.DUMMYFUNCTION("IFERROR(INDEX(FILTER(T4.2026!$A$2:$A$1000, T4.2026!$A$2:$A$1000&lt;&gt;""""), ROWS($A$9:A50)), """")"),"")</f>
        <v/>
      </c>
      <c r="B50" s="72" t="str">
        <f t="array" aca="1" ref="B50" ca="1">IF($A50="","",IFERROR(_xlfn.XLOOKUP($A50,'T4.2026'!$A$2:$A$1000,'T4.2026'!$B$2:$B$1000),""))</f>
        <v/>
      </c>
      <c r="C50" s="71" t="str">
        <f t="array" aca="1" ref="C50" ca="1">IF($A50="","",IFERROR(_xlfn.XLOOKUP($A50,'T4.2026'!$A$2:$A$1000,'T4.2026'!$C$2:$C$1000),""))</f>
        <v/>
      </c>
      <c r="D50" s="73" t="str">
        <f t="array" aca="1" ref="D50" ca="1">IF($A50="","",ROUND(IFERROR(_xlfn.XLOOKUP($A50,'T4.2026'!$A$2:$A$1000,'T4.2026'!$D$2:$D$1000),0),0))</f>
        <v/>
      </c>
      <c r="E50" s="73" t="str">
        <f t="array" aca="1" ref="E50" ca="1">IF($A50="","",IFERROR(_xlfn.XLOOKUP($A50,'T4.2026'!$A$2:$A$1000,'T4.2026'!$E$2:$E$1000),0))</f>
        <v/>
      </c>
      <c r="F50" s="75" t="str">
        <f t="shared" ca="1" si="6"/>
        <v/>
      </c>
      <c r="G50" s="75" t="str">
        <f t="shared" ref="G50:AI50" ca="1" si="66">IF($A50="","",IF(G$8=0,"",IF(SUM($AL50:$BO50)=0,0,ROUND($BU50*SUM($AL50:AM50)/SUM($AL50:$BO50),0)-ROUND($BU50*SUM($AL50:AL50)/SUM($AL50:$BO50),0))))</f>
        <v/>
      </c>
      <c r="H50" s="75" t="str">
        <f t="shared" ca="1" si="66"/>
        <v/>
      </c>
      <c r="I50" s="75" t="str">
        <f t="shared" ca="1" si="66"/>
        <v/>
      </c>
      <c r="J50" s="75" t="str">
        <f t="shared" ca="1" si="66"/>
        <v/>
      </c>
      <c r="K50" s="75" t="str">
        <f t="shared" ca="1" si="66"/>
        <v/>
      </c>
      <c r="L50" s="75" t="str">
        <f t="shared" ca="1" si="66"/>
        <v/>
      </c>
      <c r="M50" s="75" t="str">
        <f t="shared" ca="1" si="66"/>
        <v/>
      </c>
      <c r="N50" s="75" t="str">
        <f t="shared" ca="1" si="66"/>
        <v/>
      </c>
      <c r="O50" s="75" t="str">
        <f t="shared" ca="1" si="66"/>
        <v/>
      </c>
      <c r="P50" s="75" t="str">
        <f t="shared" ca="1" si="66"/>
        <v/>
      </c>
      <c r="Q50" s="75" t="str">
        <f t="shared" ca="1" si="66"/>
        <v/>
      </c>
      <c r="R50" s="75" t="str">
        <f t="shared" ca="1" si="66"/>
        <v/>
      </c>
      <c r="S50" s="75" t="str">
        <f t="shared" ca="1" si="66"/>
        <v/>
      </c>
      <c r="T50" s="75" t="str">
        <f t="shared" ca="1" si="66"/>
        <v/>
      </c>
      <c r="U50" s="75" t="str">
        <f t="shared" ca="1" si="66"/>
        <v/>
      </c>
      <c r="V50" s="75" t="str">
        <f t="shared" ca="1" si="66"/>
        <v/>
      </c>
      <c r="W50" s="75" t="str">
        <f t="shared" ca="1" si="66"/>
        <v/>
      </c>
      <c r="X50" s="75" t="str">
        <f t="shared" ca="1" si="66"/>
        <v/>
      </c>
      <c r="Y50" s="75" t="str">
        <f t="shared" ca="1" si="66"/>
        <v/>
      </c>
      <c r="Z50" s="75" t="str">
        <f t="shared" ca="1" si="66"/>
        <v/>
      </c>
      <c r="AA50" s="75" t="str">
        <f t="shared" ca="1" si="66"/>
        <v/>
      </c>
      <c r="AB50" s="75" t="str">
        <f t="shared" ca="1" si="66"/>
        <v/>
      </c>
      <c r="AC50" s="75" t="str">
        <f t="shared" ca="1" si="66"/>
        <v/>
      </c>
      <c r="AD50" s="75" t="str">
        <f t="shared" ca="1" si="66"/>
        <v/>
      </c>
      <c r="AE50" s="75" t="str">
        <f t="shared" ca="1" si="66"/>
        <v/>
      </c>
      <c r="AF50" s="75" t="str">
        <f t="shared" ca="1" si="66"/>
        <v/>
      </c>
      <c r="AG50" s="75" t="str">
        <f t="shared" ca="1" si="66"/>
        <v/>
      </c>
      <c r="AH50" s="75" t="str">
        <f t="shared" ca="1" si="66"/>
        <v/>
      </c>
      <c r="AI50" s="75" t="str">
        <f t="shared" ca="1" si="66"/>
        <v/>
      </c>
      <c r="AJ50" s="76" t="str">
        <f t="shared" ca="1" si="8"/>
        <v/>
      </c>
      <c r="AK50" s="76" t="str">
        <f t="shared" ca="1" si="9"/>
        <v/>
      </c>
      <c r="AL50" s="33" t="str">
        <f t="shared" ref="AL50:BA83" ca="1" si="67">IF($A50="","",IF((COLUMN()-COLUMN($AL$9))&gt;($B$3-1),0,MAX(0.1,1+$D$3*(0.6*(2*MOD(ABS(SIN((COLUMN()-COLUMN($AL$9)+1)*12.9898+$B$2*0.0001))*43758.5453,1)-1)+0.4*SIN(($BV50+COLUMN()-COLUMN($AL$9))*2*PI()/7)))))</f>
        <v/>
      </c>
      <c r="AM50" s="33" t="str">
        <f t="shared" ca="1" si="67"/>
        <v/>
      </c>
      <c r="AN50" s="33" t="str">
        <f t="shared" ca="1" si="67"/>
        <v/>
      </c>
      <c r="AO50" s="33" t="str">
        <f t="shared" ca="1" si="67"/>
        <v/>
      </c>
      <c r="AP50" s="33" t="str">
        <f t="shared" ca="1" si="67"/>
        <v/>
      </c>
      <c r="AQ50" s="33" t="str">
        <f t="shared" ca="1" si="67"/>
        <v/>
      </c>
      <c r="AR50" s="33" t="str">
        <f t="shared" ca="1" si="67"/>
        <v/>
      </c>
      <c r="AS50" s="33" t="str">
        <f t="shared" ca="1" si="67"/>
        <v/>
      </c>
      <c r="AT50" s="33" t="str">
        <f t="shared" ca="1" si="67"/>
        <v/>
      </c>
      <c r="AU50" s="33" t="str">
        <f t="shared" ca="1" si="67"/>
        <v/>
      </c>
      <c r="AV50" s="33" t="str">
        <f t="shared" ca="1" si="67"/>
        <v/>
      </c>
      <c r="AW50" s="33" t="str">
        <f t="shared" ca="1" si="67"/>
        <v/>
      </c>
      <c r="AX50" s="33" t="str">
        <f t="shared" ca="1" si="67"/>
        <v/>
      </c>
      <c r="AY50" s="33" t="str">
        <f t="shared" ca="1" si="67"/>
        <v/>
      </c>
      <c r="AZ50" s="33" t="str">
        <f t="shared" ca="1" si="67"/>
        <v/>
      </c>
      <c r="BA50" s="33" t="str">
        <f t="shared" ca="1" si="67"/>
        <v/>
      </c>
      <c r="BB50" s="33" t="str">
        <f t="shared" ca="1" si="65"/>
        <v/>
      </c>
      <c r="BC50" s="33" t="str">
        <f t="shared" ca="1" si="65"/>
        <v/>
      </c>
      <c r="BD50" s="33" t="str">
        <f t="shared" ca="1" si="65"/>
        <v/>
      </c>
      <c r="BE50" s="33" t="str">
        <f t="shared" ca="1" si="65"/>
        <v/>
      </c>
      <c r="BF50" s="33" t="str">
        <f t="shared" ca="1" si="65"/>
        <v/>
      </c>
      <c r="BG50" s="33" t="str">
        <f t="shared" ca="1" si="65"/>
        <v/>
      </c>
      <c r="BH50" s="33" t="str">
        <f t="shared" ca="1" si="65"/>
        <v/>
      </c>
      <c r="BI50" s="33" t="str">
        <f t="shared" ca="1" si="65"/>
        <v/>
      </c>
      <c r="BJ50" s="33" t="str">
        <f t="shared" ca="1" si="65"/>
        <v/>
      </c>
      <c r="BK50" s="33" t="str">
        <f t="shared" ca="1" si="65"/>
        <v/>
      </c>
      <c r="BL50" s="33" t="str">
        <f t="shared" ca="1" si="65"/>
        <v/>
      </c>
      <c r="BM50" s="33" t="str">
        <f t="shared" ca="1" si="65"/>
        <v/>
      </c>
      <c r="BN50" s="33" t="str">
        <f t="shared" ca="1" si="65"/>
        <v/>
      </c>
      <c r="BO50" s="33" t="str">
        <f t="shared" ca="1" si="65"/>
        <v/>
      </c>
      <c r="BP50" s="33" t="str">
        <f t="shared" ca="1" si="11"/>
        <v/>
      </c>
      <c r="BQ50" s="78" t="str">
        <f t="shared" ca="1" si="12"/>
        <v/>
      </c>
      <c r="BR50" s="78" t="str">
        <f t="shared" ca="1" si="13"/>
        <v/>
      </c>
      <c r="BS50" s="78" t="str">
        <f t="shared" ca="1" si="14"/>
        <v/>
      </c>
      <c r="BT50" s="78" t="str">
        <f t="shared" ca="1" si="19"/>
        <v/>
      </c>
      <c r="BU50" s="78" t="str">
        <f t="shared" ca="1" si="15"/>
        <v/>
      </c>
      <c r="BV50" s="78" t="str">
        <f t="shared" ca="1" si="16"/>
        <v/>
      </c>
    </row>
    <row r="51" spans="1:74" ht="15.75" customHeight="1" x14ac:dyDescent="0.25">
      <c r="A51" s="71" t="str">
        <f ca="1">IFERROR(__xludf.DUMMYFUNCTION("IFERROR(INDEX(FILTER(T4.2026!$A$2:$A$1000, T4.2026!$A$2:$A$1000&lt;&gt;""""), ROWS($A$9:A51)), """")"),"")</f>
        <v/>
      </c>
      <c r="B51" s="72" t="str">
        <f t="array" aca="1" ref="B51" ca="1">IF($A51="","",IFERROR(_xlfn.XLOOKUP($A51,'T4.2026'!$A$2:$A$1000,'T4.2026'!$B$2:$B$1000),""))</f>
        <v/>
      </c>
      <c r="C51" s="71" t="str">
        <f t="array" aca="1" ref="C51" ca="1">IF($A51="","",IFERROR(_xlfn.XLOOKUP($A51,'T4.2026'!$A$2:$A$1000,'T4.2026'!$C$2:$C$1000),""))</f>
        <v/>
      </c>
      <c r="D51" s="73" t="str">
        <f t="array" aca="1" ref="D51" ca="1">IF($A51="","",ROUND(IFERROR(_xlfn.XLOOKUP($A51,'T4.2026'!$A$2:$A$1000,'T4.2026'!$D$2:$D$1000),0),0))</f>
        <v/>
      </c>
      <c r="E51" s="73" t="str">
        <f t="array" aca="1" ref="E51" ca="1">IF($A51="","",IFERROR(_xlfn.XLOOKUP($A51,'T4.2026'!$A$2:$A$1000,'T4.2026'!$E$2:$E$1000),0))</f>
        <v/>
      </c>
      <c r="F51" s="75" t="str">
        <f t="shared" ca="1" si="6"/>
        <v/>
      </c>
      <c r="G51" s="75" t="str">
        <f t="shared" ref="G51:AI51" ca="1" si="68">IF($A51="","",IF(G$8=0,"",IF(SUM($AL51:$BO51)=0,0,ROUND($BU51*SUM($AL51:AM51)/SUM($AL51:$BO51),0)-ROUND($BU51*SUM($AL51:AL51)/SUM($AL51:$BO51),0))))</f>
        <v/>
      </c>
      <c r="H51" s="75" t="str">
        <f t="shared" ca="1" si="68"/>
        <v/>
      </c>
      <c r="I51" s="75" t="str">
        <f t="shared" ca="1" si="68"/>
        <v/>
      </c>
      <c r="J51" s="75" t="str">
        <f t="shared" ca="1" si="68"/>
        <v/>
      </c>
      <c r="K51" s="75" t="str">
        <f t="shared" ca="1" si="68"/>
        <v/>
      </c>
      <c r="L51" s="75" t="str">
        <f t="shared" ca="1" si="68"/>
        <v/>
      </c>
      <c r="M51" s="75" t="str">
        <f t="shared" ca="1" si="68"/>
        <v/>
      </c>
      <c r="N51" s="75" t="str">
        <f t="shared" ca="1" si="68"/>
        <v/>
      </c>
      <c r="O51" s="75" t="str">
        <f t="shared" ca="1" si="68"/>
        <v/>
      </c>
      <c r="P51" s="75" t="str">
        <f t="shared" ca="1" si="68"/>
        <v/>
      </c>
      <c r="Q51" s="75" t="str">
        <f t="shared" ca="1" si="68"/>
        <v/>
      </c>
      <c r="R51" s="75" t="str">
        <f t="shared" ca="1" si="68"/>
        <v/>
      </c>
      <c r="S51" s="75" t="str">
        <f t="shared" ca="1" si="68"/>
        <v/>
      </c>
      <c r="T51" s="75" t="str">
        <f t="shared" ca="1" si="68"/>
        <v/>
      </c>
      <c r="U51" s="75" t="str">
        <f t="shared" ca="1" si="68"/>
        <v/>
      </c>
      <c r="V51" s="75" t="str">
        <f t="shared" ca="1" si="68"/>
        <v/>
      </c>
      <c r="W51" s="75" t="str">
        <f t="shared" ca="1" si="68"/>
        <v/>
      </c>
      <c r="X51" s="75" t="str">
        <f t="shared" ca="1" si="68"/>
        <v/>
      </c>
      <c r="Y51" s="75" t="str">
        <f t="shared" ca="1" si="68"/>
        <v/>
      </c>
      <c r="Z51" s="75" t="str">
        <f t="shared" ca="1" si="68"/>
        <v/>
      </c>
      <c r="AA51" s="75" t="str">
        <f t="shared" ca="1" si="68"/>
        <v/>
      </c>
      <c r="AB51" s="75" t="str">
        <f t="shared" ca="1" si="68"/>
        <v/>
      </c>
      <c r="AC51" s="75" t="str">
        <f t="shared" ca="1" si="68"/>
        <v/>
      </c>
      <c r="AD51" s="75" t="str">
        <f t="shared" ca="1" si="68"/>
        <v/>
      </c>
      <c r="AE51" s="75" t="str">
        <f t="shared" ca="1" si="68"/>
        <v/>
      </c>
      <c r="AF51" s="75" t="str">
        <f t="shared" ca="1" si="68"/>
        <v/>
      </c>
      <c r="AG51" s="75" t="str">
        <f t="shared" ca="1" si="68"/>
        <v/>
      </c>
      <c r="AH51" s="75" t="str">
        <f t="shared" ca="1" si="68"/>
        <v/>
      </c>
      <c r="AI51" s="75" t="str">
        <f t="shared" ca="1" si="68"/>
        <v/>
      </c>
      <c r="AJ51" s="76" t="str">
        <f t="shared" ca="1" si="8"/>
        <v/>
      </c>
      <c r="AK51" s="76" t="str">
        <f t="shared" ca="1" si="9"/>
        <v/>
      </c>
      <c r="AL51" s="33" t="str">
        <f t="shared" ca="1" si="67"/>
        <v/>
      </c>
      <c r="AM51" s="33" t="str">
        <f t="shared" ca="1" si="67"/>
        <v/>
      </c>
      <c r="AN51" s="33" t="str">
        <f t="shared" ca="1" si="67"/>
        <v/>
      </c>
      <c r="AO51" s="33" t="str">
        <f t="shared" ca="1" si="67"/>
        <v/>
      </c>
      <c r="AP51" s="33" t="str">
        <f t="shared" ca="1" si="67"/>
        <v/>
      </c>
      <c r="AQ51" s="33" t="str">
        <f t="shared" ca="1" si="67"/>
        <v/>
      </c>
      <c r="AR51" s="33" t="str">
        <f t="shared" ca="1" si="67"/>
        <v/>
      </c>
      <c r="AS51" s="33" t="str">
        <f t="shared" ca="1" si="67"/>
        <v/>
      </c>
      <c r="AT51" s="33" t="str">
        <f t="shared" ca="1" si="67"/>
        <v/>
      </c>
      <c r="AU51" s="33" t="str">
        <f t="shared" ca="1" si="67"/>
        <v/>
      </c>
      <c r="AV51" s="33" t="str">
        <f t="shared" ca="1" si="67"/>
        <v/>
      </c>
      <c r="AW51" s="33" t="str">
        <f t="shared" ca="1" si="67"/>
        <v/>
      </c>
      <c r="AX51" s="33" t="str">
        <f t="shared" ca="1" si="67"/>
        <v/>
      </c>
      <c r="AY51" s="33" t="str">
        <f t="shared" ca="1" si="67"/>
        <v/>
      </c>
      <c r="AZ51" s="33" t="str">
        <f t="shared" ca="1" si="67"/>
        <v/>
      </c>
      <c r="BA51" s="33" t="str">
        <f t="shared" ca="1" si="67"/>
        <v/>
      </c>
      <c r="BB51" s="33" t="str">
        <f t="shared" ca="1" si="65"/>
        <v/>
      </c>
      <c r="BC51" s="33" t="str">
        <f t="shared" ca="1" si="65"/>
        <v/>
      </c>
      <c r="BD51" s="33" t="str">
        <f t="shared" ca="1" si="65"/>
        <v/>
      </c>
      <c r="BE51" s="33" t="str">
        <f t="shared" ca="1" si="65"/>
        <v/>
      </c>
      <c r="BF51" s="33" t="str">
        <f t="shared" ca="1" si="65"/>
        <v/>
      </c>
      <c r="BG51" s="33" t="str">
        <f t="shared" ca="1" si="65"/>
        <v/>
      </c>
      <c r="BH51" s="33" t="str">
        <f t="shared" ca="1" si="65"/>
        <v/>
      </c>
      <c r="BI51" s="33" t="str">
        <f t="shared" ca="1" si="65"/>
        <v/>
      </c>
      <c r="BJ51" s="33" t="str">
        <f t="shared" ca="1" si="65"/>
        <v/>
      </c>
      <c r="BK51" s="33" t="str">
        <f t="shared" ca="1" si="65"/>
        <v/>
      </c>
      <c r="BL51" s="33" t="str">
        <f t="shared" ca="1" si="65"/>
        <v/>
      </c>
      <c r="BM51" s="33" t="str">
        <f t="shared" ca="1" si="65"/>
        <v/>
      </c>
      <c r="BN51" s="33" t="str">
        <f t="shared" ca="1" si="65"/>
        <v/>
      </c>
      <c r="BO51" s="33" t="str">
        <f t="shared" ca="1" si="65"/>
        <v/>
      </c>
      <c r="BP51" s="33" t="str">
        <f t="shared" ca="1" si="11"/>
        <v/>
      </c>
      <c r="BQ51" s="78" t="str">
        <f t="shared" ca="1" si="12"/>
        <v/>
      </c>
      <c r="BR51" s="78" t="str">
        <f t="shared" ca="1" si="13"/>
        <v/>
      </c>
      <c r="BS51" s="78" t="str">
        <f t="shared" ca="1" si="14"/>
        <v/>
      </c>
      <c r="BT51" s="78" t="str">
        <f t="shared" ca="1" si="19"/>
        <v/>
      </c>
      <c r="BU51" s="78" t="str">
        <f t="shared" ca="1" si="15"/>
        <v/>
      </c>
      <c r="BV51" s="78" t="str">
        <f t="shared" ca="1" si="16"/>
        <v/>
      </c>
    </row>
    <row r="52" spans="1:74" ht="15.75" customHeight="1" x14ac:dyDescent="0.25">
      <c r="A52" s="71" t="str">
        <f ca="1">IFERROR(__xludf.DUMMYFUNCTION("IFERROR(INDEX(FILTER(T4.2026!$A$2:$A$1000, T4.2026!$A$2:$A$1000&lt;&gt;""""), ROWS($A$9:A52)), """")"),"")</f>
        <v/>
      </c>
      <c r="B52" s="72" t="str">
        <f t="array" aca="1" ref="B52" ca="1">IF($A52="","",IFERROR(_xlfn.XLOOKUP($A52,'T4.2026'!$A$2:$A$1000,'T4.2026'!$B$2:$B$1000),""))</f>
        <v/>
      </c>
      <c r="C52" s="71" t="str">
        <f t="array" aca="1" ref="C52" ca="1">IF($A52="","",IFERROR(_xlfn.XLOOKUP($A52,'T4.2026'!$A$2:$A$1000,'T4.2026'!$C$2:$C$1000),""))</f>
        <v/>
      </c>
      <c r="D52" s="73" t="str">
        <f t="array" aca="1" ref="D52" ca="1">IF($A52="","",ROUND(IFERROR(_xlfn.XLOOKUP($A52,'T4.2026'!$A$2:$A$1000,'T4.2026'!$D$2:$D$1000),0),0))</f>
        <v/>
      </c>
      <c r="E52" s="73" t="str">
        <f t="array" aca="1" ref="E52" ca="1">IF($A52="","",IFERROR(_xlfn.XLOOKUP($A52,'T4.2026'!$A$2:$A$1000,'T4.2026'!$E$2:$E$1000),0))</f>
        <v/>
      </c>
      <c r="F52" s="75" t="str">
        <f t="shared" ca="1" si="6"/>
        <v/>
      </c>
      <c r="G52" s="75" t="str">
        <f t="shared" ref="G52:AI52" ca="1" si="69">IF($A52="","",IF(G$8=0,"",IF(SUM($AL52:$BO52)=0,0,ROUND($BU52*SUM($AL52:AM52)/SUM($AL52:$BO52),0)-ROUND($BU52*SUM($AL52:AL52)/SUM($AL52:$BO52),0))))</f>
        <v/>
      </c>
      <c r="H52" s="75" t="str">
        <f t="shared" ca="1" si="69"/>
        <v/>
      </c>
      <c r="I52" s="75" t="str">
        <f t="shared" ca="1" si="69"/>
        <v/>
      </c>
      <c r="J52" s="75" t="str">
        <f t="shared" ca="1" si="69"/>
        <v/>
      </c>
      <c r="K52" s="75" t="str">
        <f t="shared" ca="1" si="69"/>
        <v/>
      </c>
      <c r="L52" s="75" t="str">
        <f t="shared" ca="1" si="69"/>
        <v/>
      </c>
      <c r="M52" s="75" t="str">
        <f t="shared" ca="1" si="69"/>
        <v/>
      </c>
      <c r="N52" s="75" t="str">
        <f t="shared" ca="1" si="69"/>
        <v/>
      </c>
      <c r="O52" s="75" t="str">
        <f t="shared" ca="1" si="69"/>
        <v/>
      </c>
      <c r="P52" s="75" t="str">
        <f t="shared" ca="1" si="69"/>
        <v/>
      </c>
      <c r="Q52" s="75" t="str">
        <f t="shared" ca="1" si="69"/>
        <v/>
      </c>
      <c r="R52" s="75" t="str">
        <f t="shared" ca="1" si="69"/>
        <v/>
      </c>
      <c r="S52" s="75" t="str">
        <f t="shared" ca="1" si="69"/>
        <v/>
      </c>
      <c r="T52" s="75" t="str">
        <f t="shared" ca="1" si="69"/>
        <v/>
      </c>
      <c r="U52" s="75" t="str">
        <f t="shared" ca="1" si="69"/>
        <v/>
      </c>
      <c r="V52" s="75" t="str">
        <f t="shared" ca="1" si="69"/>
        <v/>
      </c>
      <c r="W52" s="75" t="str">
        <f t="shared" ca="1" si="69"/>
        <v/>
      </c>
      <c r="X52" s="75" t="str">
        <f t="shared" ca="1" si="69"/>
        <v/>
      </c>
      <c r="Y52" s="75" t="str">
        <f t="shared" ca="1" si="69"/>
        <v/>
      </c>
      <c r="Z52" s="75" t="str">
        <f t="shared" ca="1" si="69"/>
        <v/>
      </c>
      <c r="AA52" s="75" t="str">
        <f t="shared" ca="1" si="69"/>
        <v/>
      </c>
      <c r="AB52" s="75" t="str">
        <f t="shared" ca="1" si="69"/>
        <v/>
      </c>
      <c r="AC52" s="75" t="str">
        <f t="shared" ca="1" si="69"/>
        <v/>
      </c>
      <c r="AD52" s="75" t="str">
        <f t="shared" ca="1" si="69"/>
        <v/>
      </c>
      <c r="AE52" s="75" t="str">
        <f t="shared" ca="1" si="69"/>
        <v/>
      </c>
      <c r="AF52" s="75" t="str">
        <f t="shared" ca="1" si="69"/>
        <v/>
      </c>
      <c r="AG52" s="75" t="str">
        <f t="shared" ca="1" si="69"/>
        <v/>
      </c>
      <c r="AH52" s="75" t="str">
        <f t="shared" ca="1" si="69"/>
        <v/>
      </c>
      <c r="AI52" s="75" t="str">
        <f t="shared" ca="1" si="69"/>
        <v/>
      </c>
      <c r="AJ52" s="76" t="str">
        <f t="shared" ca="1" si="8"/>
        <v/>
      </c>
      <c r="AK52" s="76" t="str">
        <f t="shared" ca="1" si="9"/>
        <v/>
      </c>
      <c r="AL52" s="33" t="str">
        <f t="shared" ca="1" si="67"/>
        <v/>
      </c>
      <c r="AM52" s="33" t="str">
        <f t="shared" ca="1" si="67"/>
        <v/>
      </c>
      <c r="AN52" s="33" t="str">
        <f t="shared" ca="1" si="67"/>
        <v/>
      </c>
      <c r="AO52" s="33" t="str">
        <f t="shared" ca="1" si="67"/>
        <v/>
      </c>
      <c r="AP52" s="33" t="str">
        <f t="shared" ca="1" si="67"/>
        <v/>
      </c>
      <c r="AQ52" s="33" t="str">
        <f t="shared" ca="1" si="67"/>
        <v/>
      </c>
      <c r="AR52" s="33" t="str">
        <f t="shared" ca="1" si="67"/>
        <v/>
      </c>
      <c r="AS52" s="33" t="str">
        <f t="shared" ca="1" si="67"/>
        <v/>
      </c>
      <c r="AT52" s="33" t="str">
        <f t="shared" ca="1" si="67"/>
        <v/>
      </c>
      <c r="AU52" s="33" t="str">
        <f t="shared" ca="1" si="67"/>
        <v/>
      </c>
      <c r="AV52" s="33" t="str">
        <f t="shared" ca="1" si="67"/>
        <v/>
      </c>
      <c r="AW52" s="33" t="str">
        <f t="shared" ca="1" si="67"/>
        <v/>
      </c>
      <c r="AX52" s="33" t="str">
        <f t="shared" ca="1" si="67"/>
        <v/>
      </c>
      <c r="AY52" s="33" t="str">
        <f t="shared" ca="1" si="67"/>
        <v/>
      </c>
      <c r="AZ52" s="33" t="str">
        <f t="shared" ca="1" si="67"/>
        <v/>
      </c>
      <c r="BA52" s="33" t="str">
        <f t="shared" ca="1" si="67"/>
        <v/>
      </c>
      <c r="BB52" s="33" t="str">
        <f t="shared" ca="1" si="65"/>
        <v/>
      </c>
      <c r="BC52" s="33" t="str">
        <f t="shared" ca="1" si="65"/>
        <v/>
      </c>
      <c r="BD52" s="33" t="str">
        <f t="shared" ca="1" si="65"/>
        <v/>
      </c>
      <c r="BE52" s="33" t="str">
        <f t="shared" ca="1" si="65"/>
        <v/>
      </c>
      <c r="BF52" s="33" t="str">
        <f t="shared" ca="1" si="65"/>
        <v/>
      </c>
      <c r="BG52" s="33" t="str">
        <f t="shared" ca="1" si="65"/>
        <v/>
      </c>
      <c r="BH52" s="33" t="str">
        <f t="shared" ca="1" si="65"/>
        <v/>
      </c>
      <c r="BI52" s="33" t="str">
        <f t="shared" ca="1" si="65"/>
        <v/>
      </c>
      <c r="BJ52" s="33" t="str">
        <f t="shared" ca="1" si="65"/>
        <v/>
      </c>
      <c r="BK52" s="33" t="str">
        <f t="shared" ca="1" si="65"/>
        <v/>
      </c>
      <c r="BL52" s="33" t="str">
        <f t="shared" ca="1" si="65"/>
        <v/>
      </c>
      <c r="BM52" s="33" t="str">
        <f t="shared" ca="1" si="65"/>
        <v/>
      </c>
      <c r="BN52" s="33" t="str">
        <f t="shared" ca="1" si="65"/>
        <v/>
      </c>
      <c r="BO52" s="33" t="str">
        <f t="shared" ca="1" si="65"/>
        <v/>
      </c>
      <c r="BP52" s="33" t="str">
        <f t="shared" ca="1" si="11"/>
        <v/>
      </c>
      <c r="BQ52" s="78" t="str">
        <f t="shared" ca="1" si="12"/>
        <v/>
      </c>
      <c r="BR52" s="78" t="str">
        <f t="shared" ca="1" si="13"/>
        <v/>
      </c>
      <c r="BS52" s="78" t="str">
        <f t="shared" ca="1" si="14"/>
        <v/>
      </c>
      <c r="BT52" s="78" t="str">
        <f t="shared" ca="1" si="19"/>
        <v/>
      </c>
      <c r="BU52" s="78" t="str">
        <f t="shared" ca="1" si="15"/>
        <v/>
      </c>
      <c r="BV52" s="78" t="str">
        <f t="shared" ca="1" si="16"/>
        <v/>
      </c>
    </row>
    <row r="53" spans="1:74" ht="15.75" customHeight="1" x14ac:dyDescent="0.25">
      <c r="A53" s="71" t="str">
        <f ca="1">IFERROR(__xludf.DUMMYFUNCTION("IFERROR(INDEX(FILTER(T4.2026!$A$2:$A$1000, T4.2026!$A$2:$A$1000&lt;&gt;""""), ROWS($A$9:A53)), """")"),"")</f>
        <v/>
      </c>
      <c r="B53" s="72" t="str">
        <f t="array" aca="1" ref="B53" ca="1">IF($A53="","",IFERROR(_xlfn.XLOOKUP($A53,'T4.2026'!$A$2:$A$1000,'T4.2026'!$B$2:$B$1000),""))</f>
        <v/>
      </c>
      <c r="C53" s="71" t="str">
        <f t="array" aca="1" ref="C53" ca="1">IF($A53="","",IFERROR(_xlfn.XLOOKUP($A53,'T4.2026'!$A$2:$A$1000,'T4.2026'!$C$2:$C$1000),""))</f>
        <v/>
      </c>
      <c r="D53" s="73" t="str">
        <f t="array" aca="1" ref="D53" ca="1">IF($A53="","",ROUND(IFERROR(_xlfn.XLOOKUP($A53,'T4.2026'!$A$2:$A$1000,'T4.2026'!$D$2:$D$1000),0),0))</f>
        <v/>
      </c>
      <c r="E53" s="73" t="str">
        <f t="array" aca="1" ref="E53" ca="1">IF($A53="","",IFERROR(_xlfn.XLOOKUP($A53,'T4.2026'!$A$2:$A$1000,'T4.2026'!$E$2:$E$1000),0))</f>
        <v/>
      </c>
      <c r="F53" s="75" t="str">
        <f t="shared" ca="1" si="6"/>
        <v/>
      </c>
      <c r="G53" s="75" t="str">
        <f t="shared" ref="G53:AI53" ca="1" si="70">IF($A53="","",IF(G$8=0,"",IF(SUM($AL53:$BO53)=0,0,ROUND($BU53*SUM($AL53:AM53)/SUM($AL53:$BO53),0)-ROUND($BU53*SUM($AL53:AL53)/SUM($AL53:$BO53),0))))</f>
        <v/>
      </c>
      <c r="H53" s="75" t="str">
        <f t="shared" ca="1" si="70"/>
        <v/>
      </c>
      <c r="I53" s="75" t="str">
        <f t="shared" ca="1" si="70"/>
        <v/>
      </c>
      <c r="J53" s="75" t="str">
        <f t="shared" ca="1" si="70"/>
        <v/>
      </c>
      <c r="K53" s="75" t="str">
        <f t="shared" ca="1" si="70"/>
        <v/>
      </c>
      <c r="L53" s="75" t="str">
        <f t="shared" ca="1" si="70"/>
        <v/>
      </c>
      <c r="M53" s="75" t="str">
        <f t="shared" ca="1" si="70"/>
        <v/>
      </c>
      <c r="N53" s="75" t="str">
        <f t="shared" ca="1" si="70"/>
        <v/>
      </c>
      <c r="O53" s="75" t="str">
        <f t="shared" ca="1" si="70"/>
        <v/>
      </c>
      <c r="P53" s="75" t="str">
        <f t="shared" ca="1" si="70"/>
        <v/>
      </c>
      <c r="Q53" s="75" t="str">
        <f t="shared" ca="1" si="70"/>
        <v/>
      </c>
      <c r="R53" s="75" t="str">
        <f t="shared" ca="1" si="70"/>
        <v/>
      </c>
      <c r="S53" s="75" t="str">
        <f t="shared" ca="1" si="70"/>
        <v/>
      </c>
      <c r="T53" s="75" t="str">
        <f t="shared" ca="1" si="70"/>
        <v/>
      </c>
      <c r="U53" s="75" t="str">
        <f t="shared" ca="1" si="70"/>
        <v/>
      </c>
      <c r="V53" s="75" t="str">
        <f t="shared" ca="1" si="70"/>
        <v/>
      </c>
      <c r="W53" s="75" t="str">
        <f t="shared" ca="1" si="70"/>
        <v/>
      </c>
      <c r="X53" s="75" t="str">
        <f t="shared" ca="1" si="70"/>
        <v/>
      </c>
      <c r="Y53" s="75" t="str">
        <f t="shared" ca="1" si="70"/>
        <v/>
      </c>
      <c r="Z53" s="75" t="str">
        <f t="shared" ca="1" si="70"/>
        <v/>
      </c>
      <c r="AA53" s="75" t="str">
        <f t="shared" ca="1" si="70"/>
        <v/>
      </c>
      <c r="AB53" s="75" t="str">
        <f t="shared" ca="1" si="70"/>
        <v/>
      </c>
      <c r="AC53" s="75" t="str">
        <f t="shared" ca="1" si="70"/>
        <v/>
      </c>
      <c r="AD53" s="75" t="str">
        <f t="shared" ca="1" si="70"/>
        <v/>
      </c>
      <c r="AE53" s="75" t="str">
        <f t="shared" ca="1" si="70"/>
        <v/>
      </c>
      <c r="AF53" s="75" t="str">
        <f t="shared" ca="1" si="70"/>
        <v/>
      </c>
      <c r="AG53" s="75" t="str">
        <f t="shared" ca="1" si="70"/>
        <v/>
      </c>
      <c r="AH53" s="75" t="str">
        <f t="shared" ca="1" si="70"/>
        <v/>
      </c>
      <c r="AI53" s="75" t="str">
        <f t="shared" ca="1" si="70"/>
        <v/>
      </c>
      <c r="AJ53" s="76" t="str">
        <f t="shared" ca="1" si="8"/>
        <v/>
      </c>
      <c r="AK53" s="76" t="str">
        <f t="shared" ca="1" si="9"/>
        <v/>
      </c>
      <c r="AL53" s="33" t="str">
        <f t="shared" ca="1" si="67"/>
        <v/>
      </c>
      <c r="AM53" s="33" t="str">
        <f t="shared" ca="1" si="67"/>
        <v/>
      </c>
      <c r="AN53" s="33" t="str">
        <f t="shared" ca="1" si="67"/>
        <v/>
      </c>
      <c r="AO53" s="33" t="str">
        <f t="shared" ca="1" si="67"/>
        <v/>
      </c>
      <c r="AP53" s="33" t="str">
        <f t="shared" ca="1" si="67"/>
        <v/>
      </c>
      <c r="AQ53" s="33" t="str">
        <f t="shared" ca="1" si="67"/>
        <v/>
      </c>
      <c r="AR53" s="33" t="str">
        <f t="shared" ca="1" si="67"/>
        <v/>
      </c>
      <c r="AS53" s="33" t="str">
        <f t="shared" ca="1" si="67"/>
        <v/>
      </c>
      <c r="AT53" s="33" t="str">
        <f t="shared" ca="1" si="67"/>
        <v/>
      </c>
      <c r="AU53" s="33" t="str">
        <f t="shared" ca="1" si="67"/>
        <v/>
      </c>
      <c r="AV53" s="33" t="str">
        <f t="shared" ca="1" si="67"/>
        <v/>
      </c>
      <c r="AW53" s="33" t="str">
        <f t="shared" ca="1" si="67"/>
        <v/>
      </c>
      <c r="AX53" s="33" t="str">
        <f t="shared" ca="1" si="67"/>
        <v/>
      </c>
      <c r="AY53" s="33" t="str">
        <f t="shared" ca="1" si="67"/>
        <v/>
      </c>
      <c r="AZ53" s="33" t="str">
        <f t="shared" ca="1" si="67"/>
        <v/>
      </c>
      <c r="BA53" s="33" t="str">
        <f t="shared" ca="1" si="67"/>
        <v/>
      </c>
      <c r="BB53" s="33" t="str">
        <f t="shared" ca="1" si="65"/>
        <v/>
      </c>
      <c r="BC53" s="33" t="str">
        <f t="shared" ca="1" si="65"/>
        <v/>
      </c>
      <c r="BD53" s="33" t="str">
        <f t="shared" ca="1" si="65"/>
        <v/>
      </c>
      <c r="BE53" s="33" t="str">
        <f t="shared" ca="1" si="65"/>
        <v/>
      </c>
      <c r="BF53" s="33" t="str">
        <f t="shared" ca="1" si="65"/>
        <v/>
      </c>
      <c r="BG53" s="33" t="str">
        <f t="shared" ca="1" si="65"/>
        <v/>
      </c>
      <c r="BH53" s="33" t="str">
        <f t="shared" ca="1" si="65"/>
        <v/>
      </c>
      <c r="BI53" s="33" t="str">
        <f t="shared" ca="1" si="65"/>
        <v/>
      </c>
      <c r="BJ53" s="33" t="str">
        <f t="shared" ca="1" si="65"/>
        <v/>
      </c>
      <c r="BK53" s="33" t="str">
        <f t="shared" ca="1" si="65"/>
        <v/>
      </c>
      <c r="BL53" s="33" t="str">
        <f t="shared" ca="1" si="65"/>
        <v/>
      </c>
      <c r="BM53" s="33" t="str">
        <f t="shared" ca="1" si="65"/>
        <v/>
      </c>
      <c r="BN53" s="33" t="str">
        <f t="shared" ca="1" si="65"/>
        <v/>
      </c>
      <c r="BO53" s="33" t="str">
        <f t="shared" ca="1" si="65"/>
        <v/>
      </c>
      <c r="BP53" s="33" t="str">
        <f t="shared" ca="1" si="11"/>
        <v/>
      </c>
      <c r="BQ53" s="78" t="str">
        <f t="shared" ca="1" si="12"/>
        <v/>
      </c>
      <c r="BR53" s="78" t="str">
        <f t="shared" ca="1" si="13"/>
        <v/>
      </c>
      <c r="BS53" s="78" t="str">
        <f t="shared" ca="1" si="14"/>
        <v/>
      </c>
      <c r="BT53" s="78" t="str">
        <f t="shared" ca="1" si="19"/>
        <v/>
      </c>
      <c r="BU53" s="78" t="str">
        <f t="shared" ca="1" si="15"/>
        <v/>
      </c>
      <c r="BV53" s="78" t="str">
        <f t="shared" ca="1" si="16"/>
        <v/>
      </c>
    </row>
    <row r="54" spans="1:74" ht="15.75" customHeight="1" x14ac:dyDescent="0.25">
      <c r="A54" s="71" t="str">
        <f ca="1">IFERROR(__xludf.DUMMYFUNCTION("IFERROR(INDEX(FILTER(T4.2026!$A$2:$A$1000, T4.2026!$A$2:$A$1000&lt;&gt;""""), ROWS($A$9:A54)), """")"),"")</f>
        <v/>
      </c>
      <c r="B54" s="72" t="str">
        <f t="array" aca="1" ref="B54" ca="1">IF($A54="","",IFERROR(_xlfn.XLOOKUP($A54,'T4.2026'!$A$2:$A$1000,'T4.2026'!$B$2:$B$1000),""))</f>
        <v/>
      </c>
      <c r="C54" s="71" t="str">
        <f t="array" aca="1" ref="C54" ca="1">IF($A54="","",IFERROR(_xlfn.XLOOKUP($A54,'T4.2026'!$A$2:$A$1000,'T4.2026'!$C$2:$C$1000),""))</f>
        <v/>
      </c>
      <c r="D54" s="73" t="str">
        <f t="array" aca="1" ref="D54" ca="1">IF($A54="","",ROUND(IFERROR(_xlfn.XLOOKUP($A54,'T4.2026'!$A$2:$A$1000,'T4.2026'!$D$2:$D$1000),0),0))</f>
        <v/>
      </c>
      <c r="E54" s="73" t="str">
        <f t="array" aca="1" ref="E54" ca="1">IF($A54="","",IFERROR(_xlfn.XLOOKUP($A54,'T4.2026'!$A$2:$A$1000,'T4.2026'!$E$2:$E$1000),0))</f>
        <v/>
      </c>
      <c r="F54" s="75" t="str">
        <f t="shared" ca="1" si="6"/>
        <v/>
      </c>
      <c r="G54" s="75" t="str">
        <f t="shared" ref="G54:AI54" ca="1" si="71">IF($A54="","",IF(G$8=0,"",IF(SUM($AL54:$BO54)=0,0,ROUND($BU54*SUM($AL54:AM54)/SUM($AL54:$BO54),0)-ROUND($BU54*SUM($AL54:AL54)/SUM($AL54:$BO54),0))))</f>
        <v/>
      </c>
      <c r="H54" s="75" t="str">
        <f t="shared" ca="1" si="71"/>
        <v/>
      </c>
      <c r="I54" s="75" t="str">
        <f t="shared" ca="1" si="71"/>
        <v/>
      </c>
      <c r="J54" s="75" t="str">
        <f t="shared" ca="1" si="71"/>
        <v/>
      </c>
      <c r="K54" s="75" t="str">
        <f t="shared" ca="1" si="71"/>
        <v/>
      </c>
      <c r="L54" s="75" t="str">
        <f t="shared" ca="1" si="71"/>
        <v/>
      </c>
      <c r="M54" s="75" t="str">
        <f t="shared" ca="1" si="71"/>
        <v/>
      </c>
      <c r="N54" s="75" t="str">
        <f t="shared" ca="1" si="71"/>
        <v/>
      </c>
      <c r="O54" s="75" t="str">
        <f t="shared" ca="1" si="71"/>
        <v/>
      </c>
      <c r="P54" s="75" t="str">
        <f t="shared" ca="1" si="71"/>
        <v/>
      </c>
      <c r="Q54" s="75" t="str">
        <f t="shared" ca="1" si="71"/>
        <v/>
      </c>
      <c r="R54" s="75" t="str">
        <f t="shared" ca="1" si="71"/>
        <v/>
      </c>
      <c r="S54" s="75" t="str">
        <f t="shared" ca="1" si="71"/>
        <v/>
      </c>
      <c r="T54" s="75" t="str">
        <f t="shared" ca="1" si="71"/>
        <v/>
      </c>
      <c r="U54" s="75" t="str">
        <f t="shared" ca="1" si="71"/>
        <v/>
      </c>
      <c r="V54" s="75" t="str">
        <f t="shared" ca="1" si="71"/>
        <v/>
      </c>
      <c r="W54" s="75" t="str">
        <f t="shared" ca="1" si="71"/>
        <v/>
      </c>
      <c r="X54" s="75" t="str">
        <f t="shared" ca="1" si="71"/>
        <v/>
      </c>
      <c r="Y54" s="75" t="str">
        <f t="shared" ca="1" si="71"/>
        <v/>
      </c>
      <c r="Z54" s="75" t="str">
        <f t="shared" ca="1" si="71"/>
        <v/>
      </c>
      <c r="AA54" s="75" t="str">
        <f t="shared" ca="1" si="71"/>
        <v/>
      </c>
      <c r="AB54" s="75" t="str">
        <f t="shared" ca="1" si="71"/>
        <v/>
      </c>
      <c r="AC54" s="75" t="str">
        <f t="shared" ca="1" si="71"/>
        <v/>
      </c>
      <c r="AD54" s="75" t="str">
        <f t="shared" ca="1" si="71"/>
        <v/>
      </c>
      <c r="AE54" s="75" t="str">
        <f t="shared" ca="1" si="71"/>
        <v/>
      </c>
      <c r="AF54" s="75" t="str">
        <f t="shared" ca="1" si="71"/>
        <v/>
      </c>
      <c r="AG54" s="75" t="str">
        <f t="shared" ca="1" si="71"/>
        <v/>
      </c>
      <c r="AH54" s="75" t="str">
        <f t="shared" ca="1" si="71"/>
        <v/>
      </c>
      <c r="AI54" s="75" t="str">
        <f t="shared" ca="1" si="71"/>
        <v/>
      </c>
      <c r="AJ54" s="76" t="str">
        <f t="shared" ca="1" si="8"/>
        <v/>
      </c>
      <c r="AK54" s="76" t="str">
        <f t="shared" ca="1" si="9"/>
        <v/>
      </c>
      <c r="AL54" s="33" t="str">
        <f t="shared" ca="1" si="67"/>
        <v/>
      </c>
      <c r="AM54" s="33" t="str">
        <f t="shared" ca="1" si="67"/>
        <v/>
      </c>
      <c r="AN54" s="33" t="str">
        <f t="shared" ca="1" si="67"/>
        <v/>
      </c>
      <c r="AO54" s="33" t="str">
        <f t="shared" ca="1" si="67"/>
        <v/>
      </c>
      <c r="AP54" s="33" t="str">
        <f t="shared" ca="1" si="67"/>
        <v/>
      </c>
      <c r="AQ54" s="33" t="str">
        <f t="shared" ca="1" si="67"/>
        <v/>
      </c>
      <c r="AR54" s="33" t="str">
        <f t="shared" ca="1" si="67"/>
        <v/>
      </c>
      <c r="AS54" s="33" t="str">
        <f t="shared" ca="1" si="67"/>
        <v/>
      </c>
      <c r="AT54" s="33" t="str">
        <f t="shared" ca="1" si="67"/>
        <v/>
      </c>
      <c r="AU54" s="33" t="str">
        <f t="shared" ca="1" si="67"/>
        <v/>
      </c>
      <c r="AV54" s="33" t="str">
        <f t="shared" ca="1" si="67"/>
        <v/>
      </c>
      <c r="AW54" s="33" t="str">
        <f t="shared" ca="1" si="67"/>
        <v/>
      </c>
      <c r="AX54" s="33" t="str">
        <f t="shared" ca="1" si="67"/>
        <v/>
      </c>
      <c r="AY54" s="33" t="str">
        <f t="shared" ca="1" si="67"/>
        <v/>
      </c>
      <c r="AZ54" s="33" t="str">
        <f t="shared" ca="1" si="67"/>
        <v/>
      </c>
      <c r="BA54" s="33" t="str">
        <f t="shared" ca="1" si="67"/>
        <v/>
      </c>
      <c r="BB54" s="33" t="str">
        <f t="shared" ca="1" si="65"/>
        <v/>
      </c>
      <c r="BC54" s="33" t="str">
        <f t="shared" ca="1" si="65"/>
        <v/>
      </c>
      <c r="BD54" s="33" t="str">
        <f t="shared" ca="1" si="65"/>
        <v/>
      </c>
      <c r="BE54" s="33" t="str">
        <f t="shared" ca="1" si="65"/>
        <v/>
      </c>
      <c r="BF54" s="33" t="str">
        <f t="shared" ca="1" si="65"/>
        <v/>
      </c>
      <c r="BG54" s="33" t="str">
        <f t="shared" ca="1" si="65"/>
        <v/>
      </c>
      <c r="BH54" s="33" t="str">
        <f t="shared" ca="1" si="65"/>
        <v/>
      </c>
      <c r="BI54" s="33" t="str">
        <f t="shared" ca="1" si="65"/>
        <v/>
      </c>
      <c r="BJ54" s="33" t="str">
        <f t="shared" ca="1" si="65"/>
        <v/>
      </c>
      <c r="BK54" s="33" t="str">
        <f t="shared" ca="1" si="65"/>
        <v/>
      </c>
      <c r="BL54" s="33" t="str">
        <f t="shared" ca="1" si="65"/>
        <v/>
      </c>
      <c r="BM54" s="33" t="str">
        <f t="shared" ca="1" si="65"/>
        <v/>
      </c>
      <c r="BN54" s="33" t="str">
        <f t="shared" ca="1" si="65"/>
        <v/>
      </c>
      <c r="BO54" s="33" t="str">
        <f t="shared" ca="1" si="65"/>
        <v/>
      </c>
      <c r="BP54" s="33" t="str">
        <f t="shared" ca="1" si="11"/>
        <v/>
      </c>
      <c r="BQ54" s="78" t="str">
        <f t="shared" ca="1" si="12"/>
        <v/>
      </c>
      <c r="BR54" s="78" t="str">
        <f t="shared" ca="1" si="13"/>
        <v/>
      </c>
      <c r="BS54" s="78" t="str">
        <f t="shared" ca="1" si="14"/>
        <v/>
      </c>
      <c r="BT54" s="78" t="str">
        <f t="shared" ca="1" si="19"/>
        <v/>
      </c>
      <c r="BU54" s="78" t="str">
        <f t="shared" ca="1" si="15"/>
        <v/>
      </c>
      <c r="BV54" s="78" t="str">
        <f t="shared" ca="1" si="16"/>
        <v/>
      </c>
    </row>
    <row r="55" spans="1:74" ht="15.75" customHeight="1" x14ac:dyDescent="0.25">
      <c r="A55" s="71" t="str">
        <f ca="1">IFERROR(__xludf.DUMMYFUNCTION("IFERROR(INDEX(FILTER(T4.2026!$A$2:$A$1000, T4.2026!$A$2:$A$1000&lt;&gt;""""), ROWS($A$9:A55)), """")"),"")</f>
        <v/>
      </c>
      <c r="B55" s="72" t="str">
        <f t="array" aca="1" ref="B55" ca="1">IF($A55="","",IFERROR(_xlfn.XLOOKUP($A55,'T4.2026'!$A$2:$A$1000,'T4.2026'!$B$2:$B$1000),""))</f>
        <v/>
      </c>
      <c r="C55" s="71" t="str">
        <f t="array" aca="1" ref="C55" ca="1">IF($A55="","",IFERROR(_xlfn.XLOOKUP($A55,'T4.2026'!$A$2:$A$1000,'T4.2026'!$C$2:$C$1000),""))</f>
        <v/>
      </c>
      <c r="D55" s="73" t="str">
        <f t="array" aca="1" ref="D55" ca="1">IF($A55="","",ROUND(IFERROR(_xlfn.XLOOKUP($A55,'T4.2026'!$A$2:$A$1000,'T4.2026'!$D$2:$D$1000),0),0))</f>
        <v/>
      </c>
      <c r="E55" s="73" t="str">
        <f t="array" aca="1" ref="E55" ca="1">IF($A55="","",IFERROR(_xlfn.XLOOKUP($A55,'T4.2026'!$A$2:$A$1000,'T4.2026'!$E$2:$E$1000),0))</f>
        <v/>
      </c>
      <c r="F55" s="75" t="str">
        <f t="shared" ca="1" si="6"/>
        <v/>
      </c>
      <c r="G55" s="75" t="str">
        <f t="shared" ref="G55:AI55" ca="1" si="72">IF($A55="","",IF(G$8=0,"",IF(SUM($AL55:$BO55)=0,0,ROUND($BU55*SUM($AL55:AM55)/SUM($AL55:$BO55),0)-ROUND($BU55*SUM($AL55:AL55)/SUM($AL55:$BO55),0))))</f>
        <v/>
      </c>
      <c r="H55" s="75" t="str">
        <f t="shared" ca="1" si="72"/>
        <v/>
      </c>
      <c r="I55" s="75" t="str">
        <f t="shared" ca="1" si="72"/>
        <v/>
      </c>
      <c r="J55" s="75" t="str">
        <f t="shared" ca="1" si="72"/>
        <v/>
      </c>
      <c r="K55" s="75" t="str">
        <f t="shared" ca="1" si="72"/>
        <v/>
      </c>
      <c r="L55" s="75" t="str">
        <f t="shared" ca="1" si="72"/>
        <v/>
      </c>
      <c r="M55" s="75" t="str">
        <f t="shared" ca="1" si="72"/>
        <v/>
      </c>
      <c r="N55" s="75" t="str">
        <f t="shared" ca="1" si="72"/>
        <v/>
      </c>
      <c r="O55" s="75" t="str">
        <f t="shared" ca="1" si="72"/>
        <v/>
      </c>
      <c r="P55" s="75" t="str">
        <f t="shared" ca="1" si="72"/>
        <v/>
      </c>
      <c r="Q55" s="75" t="str">
        <f t="shared" ca="1" si="72"/>
        <v/>
      </c>
      <c r="R55" s="75" t="str">
        <f t="shared" ca="1" si="72"/>
        <v/>
      </c>
      <c r="S55" s="75" t="str">
        <f t="shared" ca="1" si="72"/>
        <v/>
      </c>
      <c r="T55" s="75" t="str">
        <f t="shared" ca="1" si="72"/>
        <v/>
      </c>
      <c r="U55" s="75" t="str">
        <f t="shared" ca="1" si="72"/>
        <v/>
      </c>
      <c r="V55" s="75" t="str">
        <f t="shared" ca="1" si="72"/>
        <v/>
      </c>
      <c r="W55" s="75" t="str">
        <f t="shared" ca="1" si="72"/>
        <v/>
      </c>
      <c r="X55" s="75" t="str">
        <f t="shared" ca="1" si="72"/>
        <v/>
      </c>
      <c r="Y55" s="75" t="str">
        <f t="shared" ca="1" si="72"/>
        <v/>
      </c>
      <c r="Z55" s="75" t="str">
        <f t="shared" ca="1" si="72"/>
        <v/>
      </c>
      <c r="AA55" s="75" t="str">
        <f t="shared" ca="1" si="72"/>
        <v/>
      </c>
      <c r="AB55" s="75" t="str">
        <f t="shared" ca="1" si="72"/>
        <v/>
      </c>
      <c r="AC55" s="75" t="str">
        <f t="shared" ca="1" si="72"/>
        <v/>
      </c>
      <c r="AD55" s="75" t="str">
        <f t="shared" ca="1" si="72"/>
        <v/>
      </c>
      <c r="AE55" s="75" t="str">
        <f t="shared" ca="1" si="72"/>
        <v/>
      </c>
      <c r="AF55" s="75" t="str">
        <f t="shared" ca="1" si="72"/>
        <v/>
      </c>
      <c r="AG55" s="75" t="str">
        <f t="shared" ca="1" si="72"/>
        <v/>
      </c>
      <c r="AH55" s="75" t="str">
        <f t="shared" ca="1" si="72"/>
        <v/>
      </c>
      <c r="AI55" s="75" t="str">
        <f t="shared" ca="1" si="72"/>
        <v/>
      </c>
      <c r="AJ55" s="76" t="str">
        <f t="shared" ca="1" si="8"/>
        <v/>
      </c>
      <c r="AK55" s="76" t="str">
        <f t="shared" ca="1" si="9"/>
        <v/>
      </c>
      <c r="AL55" s="33" t="str">
        <f t="shared" ca="1" si="67"/>
        <v/>
      </c>
      <c r="AM55" s="33" t="str">
        <f t="shared" ca="1" si="67"/>
        <v/>
      </c>
      <c r="AN55" s="33" t="str">
        <f t="shared" ca="1" si="67"/>
        <v/>
      </c>
      <c r="AO55" s="33" t="str">
        <f t="shared" ca="1" si="67"/>
        <v/>
      </c>
      <c r="AP55" s="33" t="str">
        <f t="shared" ca="1" si="67"/>
        <v/>
      </c>
      <c r="AQ55" s="33" t="str">
        <f t="shared" ca="1" si="67"/>
        <v/>
      </c>
      <c r="AR55" s="33" t="str">
        <f t="shared" ca="1" si="67"/>
        <v/>
      </c>
      <c r="AS55" s="33" t="str">
        <f t="shared" ca="1" si="67"/>
        <v/>
      </c>
      <c r="AT55" s="33" t="str">
        <f t="shared" ca="1" si="67"/>
        <v/>
      </c>
      <c r="AU55" s="33" t="str">
        <f t="shared" ca="1" si="67"/>
        <v/>
      </c>
      <c r="AV55" s="33" t="str">
        <f t="shared" ca="1" si="67"/>
        <v/>
      </c>
      <c r="AW55" s="33" t="str">
        <f t="shared" ca="1" si="67"/>
        <v/>
      </c>
      <c r="AX55" s="33" t="str">
        <f t="shared" ca="1" si="67"/>
        <v/>
      </c>
      <c r="AY55" s="33" t="str">
        <f t="shared" ca="1" si="67"/>
        <v/>
      </c>
      <c r="AZ55" s="33" t="str">
        <f t="shared" ca="1" si="67"/>
        <v/>
      </c>
      <c r="BA55" s="33" t="str">
        <f t="shared" ca="1" si="67"/>
        <v/>
      </c>
      <c r="BB55" s="33" t="str">
        <f t="shared" ca="1" si="65"/>
        <v/>
      </c>
      <c r="BC55" s="33" t="str">
        <f t="shared" ca="1" si="65"/>
        <v/>
      </c>
      <c r="BD55" s="33" t="str">
        <f t="shared" ca="1" si="65"/>
        <v/>
      </c>
      <c r="BE55" s="33" t="str">
        <f t="shared" ca="1" si="65"/>
        <v/>
      </c>
      <c r="BF55" s="33" t="str">
        <f t="shared" ca="1" si="65"/>
        <v/>
      </c>
      <c r="BG55" s="33" t="str">
        <f t="shared" ca="1" si="65"/>
        <v/>
      </c>
      <c r="BH55" s="33" t="str">
        <f t="shared" ca="1" si="65"/>
        <v/>
      </c>
      <c r="BI55" s="33" t="str">
        <f t="shared" ca="1" si="65"/>
        <v/>
      </c>
      <c r="BJ55" s="33" t="str">
        <f t="shared" ca="1" si="65"/>
        <v/>
      </c>
      <c r="BK55" s="33" t="str">
        <f t="shared" ca="1" si="65"/>
        <v/>
      </c>
      <c r="BL55" s="33" t="str">
        <f t="shared" ca="1" si="65"/>
        <v/>
      </c>
      <c r="BM55" s="33" t="str">
        <f t="shared" ca="1" si="65"/>
        <v/>
      </c>
      <c r="BN55" s="33" t="str">
        <f t="shared" ca="1" si="65"/>
        <v/>
      </c>
      <c r="BO55" s="33" t="str">
        <f t="shared" ca="1" si="65"/>
        <v/>
      </c>
      <c r="BP55" s="33" t="str">
        <f t="shared" ca="1" si="11"/>
        <v/>
      </c>
      <c r="BQ55" s="78" t="str">
        <f t="shared" ca="1" si="12"/>
        <v/>
      </c>
      <c r="BR55" s="78" t="str">
        <f t="shared" ca="1" si="13"/>
        <v/>
      </c>
      <c r="BS55" s="78" t="str">
        <f t="shared" ca="1" si="14"/>
        <v/>
      </c>
      <c r="BT55" s="78" t="str">
        <f t="shared" ca="1" si="19"/>
        <v/>
      </c>
      <c r="BU55" s="78" t="str">
        <f t="shared" ca="1" si="15"/>
        <v/>
      </c>
      <c r="BV55" s="78" t="str">
        <f t="shared" ca="1" si="16"/>
        <v/>
      </c>
    </row>
    <row r="56" spans="1:74" ht="15.75" customHeight="1" x14ac:dyDescent="0.25">
      <c r="A56" s="71" t="str">
        <f ca="1">IFERROR(__xludf.DUMMYFUNCTION("IFERROR(INDEX(FILTER(T4.2026!$A$2:$A$1000, T4.2026!$A$2:$A$1000&lt;&gt;""""), ROWS($A$9:A56)), """")"),"")</f>
        <v/>
      </c>
      <c r="B56" s="72" t="str">
        <f t="array" aca="1" ref="B56" ca="1">IF($A56="","",IFERROR(_xlfn.XLOOKUP($A56,'T4.2026'!$A$2:$A$1000,'T4.2026'!$B$2:$B$1000),""))</f>
        <v/>
      </c>
      <c r="C56" s="71" t="str">
        <f t="array" aca="1" ref="C56" ca="1">IF($A56="","",IFERROR(_xlfn.XLOOKUP($A56,'T4.2026'!$A$2:$A$1000,'T4.2026'!$C$2:$C$1000),""))</f>
        <v/>
      </c>
      <c r="D56" s="73" t="str">
        <f t="array" aca="1" ref="D56" ca="1">IF($A56="","",ROUND(IFERROR(_xlfn.XLOOKUP($A56,'T4.2026'!$A$2:$A$1000,'T4.2026'!$D$2:$D$1000),0),0))</f>
        <v/>
      </c>
      <c r="E56" s="73" t="str">
        <f t="array" aca="1" ref="E56" ca="1">IF($A56="","",IFERROR(_xlfn.XLOOKUP($A56,'T4.2026'!$A$2:$A$1000,'T4.2026'!$E$2:$E$1000),0))</f>
        <v/>
      </c>
      <c r="F56" s="75" t="str">
        <f t="shared" ca="1" si="6"/>
        <v/>
      </c>
      <c r="G56" s="75" t="str">
        <f t="shared" ref="G56:AI56" ca="1" si="73">IF($A56="","",IF(G$8=0,"",IF(SUM($AL56:$BO56)=0,0,ROUND($BU56*SUM($AL56:AM56)/SUM($AL56:$BO56),0)-ROUND($BU56*SUM($AL56:AL56)/SUM($AL56:$BO56),0))))</f>
        <v/>
      </c>
      <c r="H56" s="75" t="str">
        <f t="shared" ca="1" si="73"/>
        <v/>
      </c>
      <c r="I56" s="75" t="str">
        <f t="shared" ca="1" si="73"/>
        <v/>
      </c>
      <c r="J56" s="75" t="str">
        <f t="shared" ca="1" si="73"/>
        <v/>
      </c>
      <c r="K56" s="75" t="str">
        <f t="shared" ca="1" si="73"/>
        <v/>
      </c>
      <c r="L56" s="75" t="str">
        <f t="shared" ca="1" si="73"/>
        <v/>
      </c>
      <c r="M56" s="75" t="str">
        <f t="shared" ca="1" si="73"/>
        <v/>
      </c>
      <c r="N56" s="75" t="str">
        <f t="shared" ca="1" si="73"/>
        <v/>
      </c>
      <c r="O56" s="75" t="str">
        <f t="shared" ca="1" si="73"/>
        <v/>
      </c>
      <c r="P56" s="75" t="str">
        <f t="shared" ca="1" si="73"/>
        <v/>
      </c>
      <c r="Q56" s="75" t="str">
        <f t="shared" ca="1" si="73"/>
        <v/>
      </c>
      <c r="R56" s="75" t="str">
        <f t="shared" ca="1" si="73"/>
        <v/>
      </c>
      <c r="S56" s="75" t="str">
        <f t="shared" ca="1" si="73"/>
        <v/>
      </c>
      <c r="T56" s="75" t="str">
        <f t="shared" ca="1" si="73"/>
        <v/>
      </c>
      <c r="U56" s="75" t="str">
        <f t="shared" ca="1" si="73"/>
        <v/>
      </c>
      <c r="V56" s="75" t="str">
        <f t="shared" ca="1" si="73"/>
        <v/>
      </c>
      <c r="W56" s="75" t="str">
        <f t="shared" ca="1" si="73"/>
        <v/>
      </c>
      <c r="X56" s="75" t="str">
        <f t="shared" ca="1" si="73"/>
        <v/>
      </c>
      <c r="Y56" s="75" t="str">
        <f t="shared" ca="1" si="73"/>
        <v/>
      </c>
      <c r="Z56" s="75" t="str">
        <f t="shared" ca="1" si="73"/>
        <v/>
      </c>
      <c r="AA56" s="75" t="str">
        <f t="shared" ca="1" si="73"/>
        <v/>
      </c>
      <c r="AB56" s="75" t="str">
        <f t="shared" ca="1" si="73"/>
        <v/>
      </c>
      <c r="AC56" s="75" t="str">
        <f t="shared" ca="1" si="73"/>
        <v/>
      </c>
      <c r="AD56" s="75" t="str">
        <f t="shared" ca="1" si="73"/>
        <v/>
      </c>
      <c r="AE56" s="75" t="str">
        <f t="shared" ca="1" si="73"/>
        <v/>
      </c>
      <c r="AF56" s="75" t="str">
        <f t="shared" ca="1" si="73"/>
        <v/>
      </c>
      <c r="AG56" s="75" t="str">
        <f t="shared" ca="1" si="73"/>
        <v/>
      </c>
      <c r="AH56" s="75" t="str">
        <f t="shared" ca="1" si="73"/>
        <v/>
      </c>
      <c r="AI56" s="75" t="str">
        <f t="shared" ca="1" si="73"/>
        <v/>
      </c>
      <c r="AJ56" s="76" t="str">
        <f t="shared" ca="1" si="8"/>
        <v/>
      </c>
      <c r="AK56" s="76" t="str">
        <f t="shared" ca="1" si="9"/>
        <v/>
      </c>
      <c r="AL56" s="33" t="str">
        <f t="shared" ca="1" si="67"/>
        <v/>
      </c>
      <c r="AM56" s="33" t="str">
        <f t="shared" ca="1" si="67"/>
        <v/>
      </c>
      <c r="AN56" s="33" t="str">
        <f t="shared" ca="1" si="67"/>
        <v/>
      </c>
      <c r="AO56" s="33" t="str">
        <f t="shared" ca="1" si="67"/>
        <v/>
      </c>
      <c r="AP56" s="33" t="str">
        <f t="shared" ca="1" si="67"/>
        <v/>
      </c>
      <c r="AQ56" s="33" t="str">
        <f t="shared" ca="1" si="67"/>
        <v/>
      </c>
      <c r="AR56" s="33" t="str">
        <f t="shared" ca="1" si="67"/>
        <v/>
      </c>
      <c r="AS56" s="33" t="str">
        <f t="shared" ca="1" si="67"/>
        <v/>
      </c>
      <c r="AT56" s="33" t="str">
        <f t="shared" ca="1" si="67"/>
        <v/>
      </c>
      <c r="AU56" s="33" t="str">
        <f t="shared" ca="1" si="67"/>
        <v/>
      </c>
      <c r="AV56" s="33" t="str">
        <f t="shared" ca="1" si="67"/>
        <v/>
      </c>
      <c r="AW56" s="33" t="str">
        <f t="shared" ca="1" si="67"/>
        <v/>
      </c>
      <c r="AX56" s="33" t="str">
        <f t="shared" ca="1" si="67"/>
        <v/>
      </c>
      <c r="AY56" s="33" t="str">
        <f t="shared" ca="1" si="67"/>
        <v/>
      </c>
      <c r="AZ56" s="33" t="str">
        <f t="shared" ca="1" si="67"/>
        <v/>
      </c>
      <c r="BA56" s="33" t="str">
        <f t="shared" ca="1" si="67"/>
        <v/>
      </c>
      <c r="BB56" s="33" t="str">
        <f t="shared" ca="1" si="65"/>
        <v/>
      </c>
      <c r="BC56" s="33" t="str">
        <f t="shared" ca="1" si="65"/>
        <v/>
      </c>
      <c r="BD56" s="33" t="str">
        <f t="shared" ca="1" si="65"/>
        <v/>
      </c>
      <c r="BE56" s="33" t="str">
        <f t="shared" ca="1" si="65"/>
        <v/>
      </c>
      <c r="BF56" s="33" t="str">
        <f t="shared" ca="1" si="65"/>
        <v/>
      </c>
      <c r="BG56" s="33" t="str">
        <f t="shared" ca="1" si="65"/>
        <v/>
      </c>
      <c r="BH56" s="33" t="str">
        <f t="shared" ca="1" si="65"/>
        <v/>
      </c>
      <c r="BI56" s="33" t="str">
        <f t="shared" ca="1" si="65"/>
        <v/>
      </c>
      <c r="BJ56" s="33" t="str">
        <f t="shared" ca="1" si="65"/>
        <v/>
      </c>
      <c r="BK56" s="33" t="str">
        <f t="shared" ca="1" si="65"/>
        <v/>
      </c>
      <c r="BL56" s="33" t="str">
        <f t="shared" ca="1" si="65"/>
        <v/>
      </c>
      <c r="BM56" s="33" t="str">
        <f t="shared" ca="1" si="65"/>
        <v/>
      </c>
      <c r="BN56" s="33" t="str">
        <f t="shared" ca="1" si="65"/>
        <v/>
      </c>
      <c r="BO56" s="33" t="str">
        <f t="shared" ca="1" si="65"/>
        <v/>
      </c>
      <c r="BP56" s="33" t="str">
        <f t="shared" ca="1" si="11"/>
        <v/>
      </c>
      <c r="BQ56" s="78" t="str">
        <f t="shared" ca="1" si="12"/>
        <v/>
      </c>
      <c r="BR56" s="78" t="str">
        <f t="shared" ca="1" si="13"/>
        <v/>
      </c>
      <c r="BS56" s="78" t="str">
        <f t="shared" ca="1" si="14"/>
        <v/>
      </c>
      <c r="BT56" s="78" t="str">
        <f t="shared" ca="1" si="19"/>
        <v/>
      </c>
      <c r="BU56" s="78" t="str">
        <f t="shared" ca="1" si="15"/>
        <v/>
      </c>
      <c r="BV56" s="78" t="str">
        <f t="shared" ca="1" si="16"/>
        <v/>
      </c>
    </row>
    <row r="57" spans="1:74" ht="15.75" customHeight="1" x14ac:dyDescent="0.25">
      <c r="A57" s="71" t="str">
        <f ca="1">IFERROR(__xludf.DUMMYFUNCTION("IFERROR(INDEX(FILTER(T4.2026!$A$2:$A$1000, T4.2026!$A$2:$A$1000&lt;&gt;""""), ROWS($A$9:A57)), """")"),"")</f>
        <v/>
      </c>
      <c r="B57" s="72" t="str">
        <f t="array" aca="1" ref="B57" ca="1">IF($A57="","",IFERROR(_xlfn.XLOOKUP($A57,'T4.2026'!$A$2:$A$1000,'T4.2026'!$B$2:$B$1000),""))</f>
        <v/>
      </c>
      <c r="C57" s="71" t="str">
        <f t="array" aca="1" ref="C57" ca="1">IF($A57="","",IFERROR(_xlfn.XLOOKUP($A57,'T4.2026'!$A$2:$A$1000,'T4.2026'!$C$2:$C$1000),""))</f>
        <v/>
      </c>
      <c r="D57" s="73" t="str">
        <f t="array" aca="1" ref="D57" ca="1">IF($A57="","",ROUND(IFERROR(_xlfn.XLOOKUP($A57,'T4.2026'!$A$2:$A$1000,'T4.2026'!$D$2:$D$1000),0),0))</f>
        <v/>
      </c>
      <c r="E57" s="73" t="str">
        <f t="array" aca="1" ref="E57" ca="1">IF($A57="","",IFERROR(_xlfn.XLOOKUP($A57,'T4.2026'!$A$2:$A$1000,'T4.2026'!$E$2:$E$1000),0))</f>
        <v/>
      </c>
      <c r="F57" s="75" t="str">
        <f t="shared" ca="1" si="6"/>
        <v/>
      </c>
      <c r="G57" s="75" t="str">
        <f t="shared" ref="G57:AI57" ca="1" si="74">IF($A57="","",IF(G$8=0,"",IF(SUM($AL57:$BO57)=0,0,ROUND($BU57*SUM($AL57:AM57)/SUM($AL57:$BO57),0)-ROUND($BU57*SUM($AL57:AL57)/SUM($AL57:$BO57),0))))</f>
        <v/>
      </c>
      <c r="H57" s="75" t="str">
        <f t="shared" ca="1" si="74"/>
        <v/>
      </c>
      <c r="I57" s="75" t="str">
        <f t="shared" ca="1" si="74"/>
        <v/>
      </c>
      <c r="J57" s="75" t="str">
        <f t="shared" ca="1" si="74"/>
        <v/>
      </c>
      <c r="K57" s="75" t="str">
        <f t="shared" ca="1" si="74"/>
        <v/>
      </c>
      <c r="L57" s="75" t="str">
        <f t="shared" ca="1" si="74"/>
        <v/>
      </c>
      <c r="M57" s="75" t="str">
        <f t="shared" ca="1" si="74"/>
        <v/>
      </c>
      <c r="N57" s="75" t="str">
        <f t="shared" ca="1" si="74"/>
        <v/>
      </c>
      <c r="O57" s="75" t="str">
        <f t="shared" ca="1" si="74"/>
        <v/>
      </c>
      <c r="P57" s="75" t="str">
        <f t="shared" ca="1" si="74"/>
        <v/>
      </c>
      <c r="Q57" s="75" t="str">
        <f t="shared" ca="1" si="74"/>
        <v/>
      </c>
      <c r="R57" s="75" t="str">
        <f t="shared" ca="1" si="74"/>
        <v/>
      </c>
      <c r="S57" s="75" t="str">
        <f t="shared" ca="1" si="74"/>
        <v/>
      </c>
      <c r="T57" s="75" t="str">
        <f t="shared" ca="1" si="74"/>
        <v/>
      </c>
      <c r="U57" s="75" t="str">
        <f t="shared" ca="1" si="74"/>
        <v/>
      </c>
      <c r="V57" s="75" t="str">
        <f t="shared" ca="1" si="74"/>
        <v/>
      </c>
      <c r="W57" s="75" t="str">
        <f t="shared" ca="1" si="74"/>
        <v/>
      </c>
      <c r="X57" s="75" t="str">
        <f t="shared" ca="1" si="74"/>
        <v/>
      </c>
      <c r="Y57" s="75" t="str">
        <f t="shared" ca="1" si="74"/>
        <v/>
      </c>
      <c r="Z57" s="75" t="str">
        <f t="shared" ca="1" si="74"/>
        <v/>
      </c>
      <c r="AA57" s="75" t="str">
        <f t="shared" ca="1" si="74"/>
        <v/>
      </c>
      <c r="AB57" s="75" t="str">
        <f t="shared" ca="1" si="74"/>
        <v/>
      </c>
      <c r="AC57" s="75" t="str">
        <f t="shared" ca="1" si="74"/>
        <v/>
      </c>
      <c r="AD57" s="75" t="str">
        <f t="shared" ca="1" si="74"/>
        <v/>
      </c>
      <c r="AE57" s="75" t="str">
        <f t="shared" ca="1" si="74"/>
        <v/>
      </c>
      <c r="AF57" s="75" t="str">
        <f t="shared" ca="1" si="74"/>
        <v/>
      </c>
      <c r="AG57" s="75" t="str">
        <f t="shared" ca="1" si="74"/>
        <v/>
      </c>
      <c r="AH57" s="75" t="str">
        <f t="shared" ca="1" si="74"/>
        <v/>
      </c>
      <c r="AI57" s="75" t="str">
        <f t="shared" ca="1" si="74"/>
        <v/>
      </c>
      <c r="AJ57" s="76" t="str">
        <f t="shared" ca="1" si="8"/>
        <v/>
      </c>
      <c r="AK57" s="76" t="str">
        <f t="shared" ca="1" si="9"/>
        <v/>
      </c>
      <c r="AL57" s="33" t="str">
        <f t="shared" ca="1" si="67"/>
        <v/>
      </c>
      <c r="AM57" s="33" t="str">
        <f t="shared" ca="1" si="67"/>
        <v/>
      </c>
      <c r="AN57" s="33" t="str">
        <f t="shared" ca="1" si="67"/>
        <v/>
      </c>
      <c r="AO57" s="33" t="str">
        <f t="shared" ca="1" si="67"/>
        <v/>
      </c>
      <c r="AP57" s="33" t="str">
        <f t="shared" ca="1" si="67"/>
        <v/>
      </c>
      <c r="AQ57" s="33" t="str">
        <f t="shared" ca="1" si="67"/>
        <v/>
      </c>
      <c r="AR57" s="33" t="str">
        <f t="shared" ca="1" si="67"/>
        <v/>
      </c>
      <c r="AS57" s="33" t="str">
        <f t="shared" ca="1" si="67"/>
        <v/>
      </c>
      <c r="AT57" s="33" t="str">
        <f t="shared" ca="1" si="67"/>
        <v/>
      </c>
      <c r="AU57" s="33" t="str">
        <f t="shared" ca="1" si="67"/>
        <v/>
      </c>
      <c r="AV57" s="33" t="str">
        <f t="shared" ca="1" si="67"/>
        <v/>
      </c>
      <c r="AW57" s="33" t="str">
        <f t="shared" ca="1" si="67"/>
        <v/>
      </c>
      <c r="AX57" s="33" t="str">
        <f t="shared" ca="1" si="67"/>
        <v/>
      </c>
      <c r="AY57" s="33" t="str">
        <f t="shared" ca="1" si="67"/>
        <v/>
      </c>
      <c r="AZ57" s="33" t="str">
        <f t="shared" ca="1" si="67"/>
        <v/>
      </c>
      <c r="BA57" s="33" t="str">
        <f t="shared" ca="1" si="67"/>
        <v/>
      </c>
      <c r="BB57" s="33" t="str">
        <f t="shared" ca="1" si="65"/>
        <v/>
      </c>
      <c r="BC57" s="33" t="str">
        <f t="shared" ca="1" si="65"/>
        <v/>
      </c>
      <c r="BD57" s="33" t="str">
        <f t="shared" ca="1" si="65"/>
        <v/>
      </c>
      <c r="BE57" s="33" t="str">
        <f t="shared" ca="1" si="65"/>
        <v/>
      </c>
      <c r="BF57" s="33" t="str">
        <f t="shared" ca="1" si="65"/>
        <v/>
      </c>
      <c r="BG57" s="33" t="str">
        <f t="shared" ca="1" si="65"/>
        <v/>
      </c>
      <c r="BH57" s="33" t="str">
        <f t="shared" ca="1" si="65"/>
        <v/>
      </c>
      <c r="BI57" s="33" t="str">
        <f t="shared" ca="1" si="65"/>
        <v/>
      </c>
      <c r="BJ57" s="33" t="str">
        <f t="shared" ca="1" si="65"/>
        <v/>
      </c>
      <c r="BK57" s="33" t="str">
        <f t="shared" ca="1" si="65"/>
        <v/>
      </c>
      <c r="BL57" s="33" t="str">
        <f t="shared" ca="1" si="65"/>
        <v/>
      </c>
      <c r="BM57" s="33" t="str">
        <f t="shared" ca="1" si="65"/>
        <v/>
      </c>
      <c r="BN57" s="33" t="str">
        <f t="shared" ca="1" si="65"/>
        <v/>
      </c>
      <c r="BO57" s="33" t="str">
        <f t="shared" ca="1" si="65"/>
        <v/>
      </c>
      <c r="BP57" s="33" t="str">
        <f t="shared" ca="1" si="11"/>
        <v/>
      </c>
      <c r="BQ57" s="78" t="str">
        <f t="shared" ca="1" si="12"/>
        <v/>
      </c>
      <c r="BR57" s="78" t="str">
        <f t="shared" ca="1" si="13"/>
        <v/>
      </c>
      <c r="BS57" s="78" t="str">
        <f t="shared" ca="1" si="14"/>
        <v/>
      </c>
      <c r="BT57" s="78" t="str">
        <f t="shared" ca="1" si="19"/>
        <v/>
      </c>
      <c r="BU57" s="78" t="str">
        <f t="shared" ca="1" si="15"/>
        <v/>
      </c>
      <c r="BV57" s="78" t="str">
        <f t="shared" ca="1" si="16"/>
        <v/>
      </c>
    </row>
    <row r="58" spans="1:74" ht="15.75" customHeight="1" x14ac:dyDescent="0.25">
      <c r="A58" s="71" t="str">
        <f ca="1">IFERROR(__xludf.DUMMYFUNCTION("IFERROR(INDEX(FILTER(T4.2026!$A$2:$A$1000, T4.2026!$A$2:$A$1000&lt;&gt;""""), ROWS($A$9:A58)), """")"),"")</f>
        <v/>
      </c>
      <c r="B58" s="72" t="str">
        <f t="array" aca="1" ref="B58" ca="1">IF($A58="","",IFERROR(_xlfn.XLOOKUP($A58,'T4.2026'!$A$2:$A$1000,'T4.2026'!$B$2:$B$1000),""))</f>
        <v/>
      </c>
      <c r="C58" s="71" t="str">
        <f t="array" aca="1" ref="C58" ca="1">IF($A58="","",IFERROR(_xlfn.XLOOKUP($A58,'T4.2026'!$A$2:$A$1000,'T4.2026'!$C$2:$C$1000),""))</f>
        <v/>
      </c>
      <c r="D58" s="73" t="str">
        <f t="array" aca="1" ref="D58" ca="1">IF($A58="","",ROUND(IFERROR(_xlfn.XLOOKUP($A58,'T4.2026'!$A$2:$A$1000,'T4.2026'!$D$2:$D$1000),0),0))</f>
        <v/>
      </c>
      <c r="E58" s="73" t="str">
        <f t="array" aca="1" ref="E58" ca="1">IF($A58="","",IFERROR(_xlfn.XLOOKUP($A58,'T4.2026'!$A$2:$A$1000,'T4.2026'!$E$2:$E$1000),0))</f>
        <v/>
      </c>
      <c r="F58" s="75" t="str">
        <f t="shared" ca="1" si="6"/>
        <v/>
      </c>
      <c r="G58" s="75" t="str">
        <f t="shared" ref="G58:AI58" ca="1" si="75">IF($A58="","",IF(G$8=0,"",IF(SUM($AL58:$BO58)=0,0,ROUND($BU58*SUM($AL58:AM58)/SUM($AL58:$BO58),0)-ROUND($BU58*SUM($AL58:AL58)/SUM($AL58:$BO58),0))))</f>
        <v/>
      </c>
      <c r="H58" s="75" t="str">
        <f t="shared" ca="1" si="75"/>
        <v/>
      </c>
      <c r="I58" s="75" t="str">
        <f t="shared" ca="1" si="75"/>
        <v/>
      </c>
      <c r="J58" s="75" t="str">
        <f t="shared" ca="1" si="75"/>
        <v/>
      </c>
      <c r="K58" s="75" t="str">
        <f t="shared" ca="1" si="75"/>
        <v/>
      </c>
      <c r="L58" s="75" t="str">
        <f t="shared" ca="1" si="75"/>
        <v/>
      </c>
      <c r="M58" s="75" t="str">
        <f t="shared" ca="1" si="75"/>
        <v/>
      </c>
      <c r="N58" s="75" t="str">
        <f t="shared" ca="1" si="75"/>
        <v/>
      </c>
      <c r="O58" s="75" t="str">
        <f t="shared" ca="1" si="75"/>
        <v/>
      </c>
      <c r="P58" s="75" t="str">
        <f t="shared" ca="1" si="75"/>
        <v/>
      </c>
      <c r="Q58" s="75" t="str">
        <f t="shared" ca="1" si="75"/>
        <v/>
      </c>
      <c r="R58" s="75" t="str">
        <f t="shared" ca="1" si="75"/>
        <v/>
      </c>
      <c r="S58" s="75" t="str">
        <f t="shared" ca="1" si="75"/>
        <v/>
      </c>
      <c r="T58" s="75" t="str">
        <f t="shared" ca="1" si="75"/>
        <v/>
      </c>
      <c r="U58" s="75" t="str">
        <f t="shared" ca="1" si="75"/>
        <v/>
      </c>
      <c r="V58" s="75" t="str">
        <f t="shared" ca="1" si="75"/>
        <v/>
      </c>
      <c r="W58" s="75" t="str">
        <f t="shared" ca="1" si="75"/>
        <v/>
      </c>
      <c r="X58" s="75" t="str">
        <f t="shared" ca="1" si="75"/>
        <v/>
      </c>
      <c r="Y58" s="75" t="str">
        <f t="shared" ca="1" si="75"/>
        <v/>
      </c>
      <c r="Z58" s="75" t="str">
        <f t="shared" ca="1" si="75"/>
        <v/>
      </c>
      <c r="AA58" s="75" t="str">
        <f t="shared" ca="1" si="75"/>
        <v/>
      </c>
      <c r="AB58" s="75" t="str">
        <f t="shared" ca="1" si="75"/>
        <v/>
      </c>
      <c r="AC58" s="75" t="str">
        <f t="shared" ca="1" si="75"/>
        <v/>
      </c>
      <c r="AD58" s="75" t="str">
        <f t="shared" ca="1" si="75"/>
        <v/>
      </c>
      <c r="AE58" s="75" t="str">
        <f t="shared" ca="1" si="75"/>
        <v/>
      </c>
      <c r="AF58" s="75" t="str">
        <f t="shared" ca="1" si="75"/>
        <v/>
      </c>
      <c r="AG58" s="75" t="str">
        <f t="shared" ca="1" si="75"/>
        <v/>
      </c>
      <c r="AH58" s="75" t="str">
        <f t="shared" ca="1" si="75"/>
        <v/>
      </c>
      <c r="AI58" s="75" t="str">
        <f t="shared" ca="1" si="75"/>
        <v/>
      </c>
      <c r="AJ58" s="76" t="str">
        <f t="shared" ca="1" si="8"/>
        <v/>
      </c>
      <c r="AK58" s="76" t="str">
        <f t="shared" ca="1" si="9"/>
        <v/>
      </c>
      <c r="AL58" s="33" t="str">
        <f t="shared" ca="1" si="67"/>
        <v/>
      </c>
      <c r="AM58" s="33" t="str">
        <f t="shared" ca="1" si="67"/>
        <v/>
      </c>
      <c r="AN58" s="33" t="str">
        <f t="shared" ca="1" si="67"/>
        <v/>
      </c>
      <c r="AO58" s="33" t="str">
        <f t="shared" ca="1" si="67"/>
        <v/>
      </c>
      <c r="AP58" s="33" t="str">
        <f t="shared" ca="1" si="67"/>
        <v/>
      </c>
      <c r="AQ58" s="33" t="str">
        <f t="shared" ca="1" si="67"/>
        <v/>
      </c>
      <c r="AR58" s="33" t="str">
        <f t="shared" ca="1" si="67"/>
        <v/>
      </c>
      <c r="AS58" s="33" t="str">
        <f t="shared" ca="1" si="67"/>
        <v/>
      </c>
      <c r="AT58" s="33" t="str">
        <f t="shared" ca="1" si="67"/>
        <v/>
      </c>
      <c r="AU58" s="33" t="str">
        <f t="shared" ca="1" si="67"/>
        <v/>
      </c>
      <c r="AV58" s="33" t="str">
        <f t="shared" ca="1" si="67"/>
        <v/>
      </c>
      <c r="AW58" s="33" t="str">
        <f t="shared" ca="1" si="67"/>
        <v/>
      </c>
      <c r="AX58" s="33" t="str">
        <f t="shared" ca="1" si="67"/>
        <v/>
      </c>
      <c r="AY58" s="33" t="str">
        <f t="shared" ca="1" si="67"/>
        <v/>
      </c>
      <c r="AZ58" s="33" t="str">
        <f t="shared" ca="1" si="67"/>
        <v/>
      </c>
      <c r="BA58" s="33" t="str">
        <f t="shared" ca="1" si="67"/>
        <v/>
      </c>
      <c r="BB58" s="33" t="str">
        <f t="shared" ca="1" si="65"/>
        <v/>
      </c>
      <c r="BC58" s="33" t="str">
        <f t="shared" ca="1" si="65"/>
        <v/>
      </c>
      <c r="BD58" s="33" t="str">
        <f t="shared" ca="1" si="65"/>
        <v/>
      </c>
      <c r="BE58" s="33" t="str">
        <f t="shared" ca="1" si="65"/>
        <v/>
      </c>
      <c r="BF58" s="33" t="str">
        <f t="shared" ca="1" si="65"/>
        <v/>
      </c>
      <c r="BG58" s="33" t="str">
        <f t="shared" ca="1" si="65"/>
        <v/>
      </c>
      <c r="BH58" s="33" t="str">
        <f t="shared" ca="1" si="65"/>
        <v/>
      </c>
      <c r="BI58" s="33" t="str">
        <f t="shared" ca="1" si="65"/>
        <v/>
      </c>
      <c r="BJ58" s="33" t="str">
        <f t="shared" ca="1" si="65"/>
        <v/>
      </c>
      <c r="BK58" s="33" t="str">
        <f t="shared" ca="1" si="65"/>
        <v/>
      </c>
      <c r="BL58" s="33" t="str">
        <f t="shared" ca="1" si="65"/>
        <v/>
      </c>
      <c r="BM58" s="33" t="str">
        <f t="shared" ca="1" si="65"/>
        <v/>
      </c>
      <c r="BN58" s="33" t="str">
        <f t="shared" ca="1" si="65"/>
        <v/>
      </c>
      <c r="BO58" s="33" t="str">
        <f t="shared" ca="1" si="65"/>
        <v/>
      </c>
      <c r="BP58" s="33" t="str">
        <f t="shared" ca="1" si="11"/>
        <v/>
      </c>
      <c r="BQ58" s="78" t="str">
        <f t="shared" ca="1" si="12"/>
        <v/>
      </c>
      <c r="BR58" s="78" t="str">
        <f t="shared" ca="1" si="13"/>
        <v/>
      </c>
      <c r="BS58" s="78" t="str">
        <f t="shared" ca="1" si="14"/>
        <v/>
      </c>
      <c r="BT58" s="78" t="str">
        <f t="shared" ca="1" si="19"/>
        <v/>
      </c>
      <c r="BU58" s="78" t="str">
        <f t="shared" ca="1" si="15"/>
        <v/>
      </c>
      <c r="BV58" s="78" t="str">
        <f t="shared" ca="1" si="16"/>
        <v/>
      </c>
    </row>
    <row r="59" spans="1:74" ht="15.75" customHeight="1" x14ac:dyDescent="0.25">
      <c r="A59" s="71" t="str">
        <f ca="1">IFERROR(__xludf.DUMMYFUNCTION("IFERROR(INDEX(FILTER(T4.2026!$A$2:$A$1000, T4.2026!$A$2:$A$1000&lt;&gt;""""), ROWS($A$9:A59)), """")"),"")</f>
        <v/>
      </c>
      <c r="B59" s="72" t="str">
        <f t="array" aca="1" ref="B59" ca="1">IF($A59="","",IFERROR(_xlfn.XLOOKUP($A59,'T4.2026'!$A$2:$A$1000,'T4.2026'!$B$2:$B$1000),""))</f>
        <v/>
      </c>
      <c r="C59" s="71" t="str">
        <f t="array" aca="1" ref="C59" ca="1">IF($A59="","",IFERROR(_xlfn.XLOOKUP($A59,'T4.2026'!$A$2:$A$1000,'T4.2026'!$C$2:$C$1000),""))</f>
        <v/>
      </c>
      <c r="D59" s="73" t="str">
        <f t="array" aca="1" ref="D59" ca="1">IF($A59="","",ROUND(IFERROR(_xlfn.XLOOKUP($A59,'T4.2026'!$A$2:$A$1000,'T4.2026'!$D$2:$D$1000),0),0))</f>
        <v/>
      </c>
      <c r="E59" s="73" t="str">
        <f t="array" aca="1" ref="E59" ca="1">IF($A59="","",IFERROR(_xlfn.XLOOKUP($A59,'T4.2026'!$A$2:$A$1000,'T4.2026'!$E$2:$E$1000),0))</f>
        <v/>
      </c>
      <c r="F59" s="75" t="str">
        <f t="shared" ca="1" si="6"/>
        <v/>
      </c>
      <c r="G59" s="75" t="str">
        <f t="shared" ref="G59:AI59" ca="1" si="76">IF($A59="","",IF(G$8=0,"",IF(SUM($AL59:$BO59)=0,0,ROUND($BU59*SUM($AL59:AM59)/SUM($AL59:$BO59),0)-ROUND($BU59*SUM($AL59:AL59)/SUM($AL59:$BO59),0))))</f>
        <v/>
      </c>
      <c r="H59" s="75" t="str">
        <f t="shared" ca="1" si="76"/>
        <v/>
      </c>
      <c r="I59" s="75" t="str">
        <f t="shared" ca="1" si="76"/>
        <v/>
      </c>
      <c r="J59" s="75" t="str">
        <f t="shared" ca="1" si="76"/>
        <v/>
      </c>
      <c r="K59" s="75" t="str">
        <f t="shared" ca="1" si="76"/>
        <v/>
      </c>
      <c r="L59" s="75" t="str">
        <f t="shared" ca="1" si="76"/>
        <v/>
      </c>
      <c r="M59" s="75" t="str">
        <f t="shared" ca="1" si="76"/>
        <v/>
      </c>
      <c r="N59" s="75" t="str">
        <f t="shared" ca="1" si="76"/>
        <v/>
      </c>
      <c r="O59" s="75" t="str">
        <f t="shared" ca="1" si="76"/>
        <v/>
      </c>
      <c r="P59" s="75" t="str">
        <f t="shared" ca="1" si="76"/>
        <v/>
      </c>
      <c r="Q59" s="75" t="str">
        <f t="shared" ca="1" si="76"/>
        <v/>
      </c>
      <c r="R59" s="75" t="str">
        <f t="shared" ca="1" si="76"/>
        <v/>
      </c>
      <c r="S59" s="75" t="str">
        <f t="shared" ca="1" si="76"/>
        <v/>
      </c>
      <c r="T59" s="75" t="str">
        <f t="shared" ca="1" si="76"/>
        <v/>
      </c>
      <c r="U59" s="75" t="str">
        <f t="shared" ca="1" si="76"/>
        <v/>
      </c>
      <c r="V59" s="75" t="str">
        <f t="shared" ca="1" si="76"/>
        <v/>
      </c>
      <c r="W59" s="75" t="str">
        <f t="shared" ca="1" si="76"/>
        <v/>
      </c>
      <c r="X59" s="75" t="str">
        <f t="shared" ca="1" si="76"/>
        <v/>
      </c>
      <c r="Y59" s="75" t="str">
        <f t="shared" ca="1" si="76"/>
        <v/>
      </c>
      <c r="Z59" s="75" t="str">
        <f t="shared" ca="1" si="76"/>
        <v/>
      </c>
      <c r="AA59" s="75" t="str">
        <f t="shared" ca="1" si="76"/>
        <v/>
      </c>
      <c r="AB59" s="75" t="str">
        <f t="shared" ca="1" si="76"/>
        <v/>
      </c>
      <c r="AC59" s="75" t="str">
        <f t="shared" ca="1" si="76"/>
        <v/>
      </c>
      <c r="AD59" s="75" t="str">
        <f t="shared" ca="1" si="76"/>
        <v/>
      </c>
      <c r="AE59" s="75" t="str">
        <f t="shared" ca="1" si="76"/>
        <v/>
      </c>
      <c r="AF59" s="75" t="str">
        <f t="shared" ca="1" si="76"/>
        <v/>
      </c>
      <c r="AG59" s="75" t="str">
        <f t="shared" ca="1" si="76"/>
        <v/>
      </c>
      <c r="AH59" s="75" t="str">
        <f t="shared" ca="1" si="76"/>
        <v/>
      </c>
      <c r="AI59" s="75" t="str">
        <f t="shared" ca="1" si="76"/>
        <v/>
      </c>
      <c r="AJ59" s="76" t="str">
        <f t="shared" ca="1" si="8"/>
        <v/>
      </c>
      <c r="AK59" s="76" t="str">
        <f t="shared" ca="1" si="9"/>
        <v/>
      </c>
      <c r="AL59" s="33" t="str">
        <f t="shared" ca="1" si="67"/>
        <v/>
      </c>
      <c r="AM59" s="33" t="str">
        <f t="shared" ca="1" si="67"/>
        <v/>
      </c>
      <c r="AN59" s="33" t="str">
        <f t="shared" ca="1" si="67"/>
        <v/>
      </c>
      <c r="AO59" s="33" t="str">
        <f t="shared" ca="1" si="67"/>
        <v/>
      </c>
      <c r="AP59" s="33" t="str">
        <f t="shared" ca="1" si="67"/>
        <v/>
      </c>
      <c r="AQ59" s="33" t="str">
        <f t="shared" ca="1" si="67"/>
        <v/>
      </c>
      <c r="AR59" s="33" t="str">
        <f t="shared" ca="1" si="67"/>
        <v/>
      </c>
      <c r="AS59" s="33" t="str">
        <f t="shared" ca="1" si="67"/>
        <v/>
      </c>
      <c r="AT59" s="33" t="str">
        <f t="shared" ca="1" si="67"/>
        <v/>
      </c>
      <c r="AU59" s="33" t="str">
        <f t="shared" ca="1" si="67"/>
        <v/>
      </c>
      <c r="AV59" s="33" t="str">
        <f t="shared" ca="1" si="67"/>
        <v/>
      </c>
      <c r="AW59" s="33" t="str">
        <f t="shared" ca="1" si="67"/>
        <v/>
      </c>
      <c r="AX59" s="33" t="str">
        <f t="shared" ca="1" si="67"/>
        <v/>
      </c>
      <c r="AY59" s="33" t="str">
        <f t="shared" ca="1" si="67"/>
        <v/>
      </c>
      <c r="AZ59" s="33" t="str">
        <f t="shared" ca="1" si="67"/>
        <v/>
      </c>
      <c r="BA59" s="33" t="str">
        <f t="shared" ca="1" si="67"/>
        <v/>
      </c>
      <c r="BB59" s="33" t="str">
        <f t="shared" ca="1" si="65"/>
        <v/>
      </c>
      <c r="BC59" s="33" t="str">
        <f t="shared" ca="1" si="65"/>
        <v/>
      </c>
      <c r="BD59" s="33" t="str">
        <f t="shared" ca="1" si="65"/>
        <v/>
      </c>
      <c r="BE59" s="33" t="str">
        <f t="shared" ca="1" si="65"/>
        <v/>
      </c>
      <c r="BF59" s="33" t="str">
        <f t="shared" ca="1" si="65"/>
        <v/>
      </c>
      <c r="BG59" s="33" t="str">
        <f t="shared" ca="1" si="65"/>
        <v/>
      </c>
      <c r="BH59" s="33" t="str">
        <f t="shared" ca="1" si="65"/>
        <v/>
      </c>
      <c r="BI59" s="33" t="str">
        <f t="shared" ca="1" si="65"/>
        <v/>
      </c>
      <c r="BJ59" s="33" t="str">
        <f t="shared" ca="1" si="65"/>
        <v/>
      </c>
      <c r="BK59" s="33" t="str">
        <f t="shared" ca="1" si="65"/>
        <v/>
      </c>
      <c r="BL59" s="33" t="str">
        <f t="shared" ca="1" si="65"/>
        <v/>
      </c>
      <c r="BM59" s="33" t="str">
        <f t="shared" ca="1" si="65"/>
        <v/>
      </c>
      <c r="BN59" s="33" t="str">
        <f t="shared" ca="1" si="65"/>
        <v/>
      </c>
      <c r="BO59" s="33" t="str">
        <f t="shared" ca="1" si="65"/>
        <v/>
      </c>
      <c r="BP59" s="33" t="str">
        <f t="shared" ca="1" si="11"/>
        <v/>
      </c>
      <c r="BQ59" s="78" t="str">
        <f t="shared" ca="1" si="12"/>
        <v/>
      </c>
      <c r="BR59" s="78" t="str">
        <f t="shared" ca="1" si="13"/>
        <v/>
      </c>
      <c r="BS59" s="78" t="str">
        <f t="shared" ca="1" si="14"/>
        <v/>
      </c>
      <c r="BT59" s="78" t="str">
        <f t="shared" ca="1" si="19"/>
        <v/>
      </c>
      <c r="BU59" s="78" t="str">
        <f t="shared" ca="1" si="15"/>
        <v/>
      </c>
      <c r="BV59" s="78" t="str">
        <f t="shared" ca="1" si="16"/>
        <v/>
      </c>
    </row>
    <row r="60" spans="1:74" ht="15.75" customHeight="1" x14ac:dyDescent="0.25">
      <c r="A60" s="71" t="str">
        <f ca="1">IFERROR(__xludf.DUMMYFUNCTION("IFERROR(INDEX(FILTER(T4.2026!$A$2:$A$1000, T4.2026!$A$2:$A$1000&lt;&gt;""""), ROWS($A$9:A60)), """")"),"")</f>
        <v/>
      </c>
      <c r="B60" s="72" t="str">
        <f t="array" aca="1" ref="B60" ca="1">IF($A60="","",IFERROR(_xlfn.XLOOKUP($A60,'T4.2026'!$A$2:$A$1000,'T4.2026'!$B$2:$B$1000),""))</f>
        <v/>
      </c>
      <c r="C60" s="71" t="str">
        <f t="array" aca="1" ref="C60" ca="1">IF($A60="","",IFERROR(_xlfn.XLOOKUP($A60,'T4.2026'!$A$2:$A$1000,'T4.2026'!$C$2:$C$1000),""))</f>
        <v/>
      </c>
      <c r="D60" s="73" t="str">
        <f t="array" aca="1" ref="D60" ca="1">IF($A60="","",ROUND(IFERROR(_xlfn.XLOOKUP($A60,'T4.2026'!$A$2:$A$1000,'T4.2026'!$D$2:$D$1000),0),0))</f>
        <v/>
      </c>
      <c r="E60" s="73" t="str">
        <f t="array" aca="1" ref="E60" ca="1">IF($A60="","",IFERROR(_xlfn.XLOOKUP($A60,'T4.2026'!$A$2:$A$1000,'T4.2026'!$E$2:$E$1000),0))</f>
        <v/>
      </c>
      <c r="F60" s="75" t="str">
        <f t="shared" ca="1" si="6"/>
        <v/>
      </c>
      <c r="G60" s="75" t="str">
        <f t="shared" ref="G60:AI60" ca="1" si="77">IF($A60="","",IF(G$8=0,"",IF(SUM($AL60:$BO60)=0,0,ROUND($BU60*SUM($AL60:AM60)/SUM($AL60:$BO60),0)-ROUND($BU60*SUM($AL60:AL60)/SUM($AL60:$BO60),0))))</f>
        <v/>
      </c>
      <c r="H60" s="75" t="str">
        <f t="shared" ca="1" si="77"/>
        <v/>
      </c>
      <c r="I60" s="75" t="str">
        <f t="shared" ca="1" si="77"/>
        <v/>
      </c>
      <c r="J60" s="75" t="str">
        <f t="shared" ca="1" si="77"/>
        <v/>
      </c>
      <c r="K60" s="75" t="str">
        <f t="shared" ca="1" si="77"/>
        <v/>
      </c>
      <c r="L60" s="75" t="str">
        <f t="shared" ca="1" si="77"/>
        <v/>
      </c>
      <c r="M60" s="75" t="str">
        <f t="shared" ca="1" si="77"/>
        <v/>
      </c>
      <c r="N60" s="75" t="str">
        <f t="shared" ca="1" si="77"/>
        <v/>
      </c>
      <c r="O60" s="75" t="str">
        <f t="shared" ca="1" si="77"/>
        <v/>
      </c>
      <c r="P60" s="75" t="str">
        <f t="shared" ca="1" si="77"/>
        <v/>
      </c>
      <c r="Q60" s="75" t="str">
        <f t="shared" ca="1" si="77"/>
        <v/>
      </c>
      <c r="R60" s="75" t="str">
        <f t="shared" ca="1" si="77"/>
        <v/>
      </c>
      <c r="S60" s="75" t="str">
        <f t="shared" ca="1" si="77"/>
        <v/>
      </c>
      <c r="T60" s="75" t="str">
        <f t="shared" ca="1" si="77"/>
        <v/>
      </c>
      <c r="U60" s="75" t="str">
        <f t="shared" ca="1" si="77"/>
        <v/>
      </c>
      <c r="V60" s="75" t="str">
        <f t="shared" ca="1" si="77"/>
        <v/>
      </c>
      <c r="W60" s="75" t="str">
        <f t="shared" ca="1" si="77"/>
        <v/>
      </c>
      <c r="X60" s="75" t="str">
        <f t="shared" ca="1" si="77"/>
        <v/>
      </c>
      <c r="Y60" s="75" t="str">
        <f t="shared" ca="1" si="77"/>
        <v/>
      </c>
      <c r="Z60" s="75" t="str">
        <f t="shared" ca="1" si="77"/>
        <v/>
      </c>
      <c r="AA60" s="75" t="str">
        <f t="shared" ca="1" si="77"/>
        <v/>
      </c>
      <c r="AB60" s="75" t="str">
        <f t="shared" ca="1" si="77"/>
        <v/>
      </c>
      <c r="AC60" s="75" t="str">
        <f t="shared" ca="1" si="77"/>
        <v/>
      </c>
      <c r="AD60" s="75" t="str">
        <f t="shared" ca="1" si="77"/>
        <v/>
      </c>
      <c r="AE60" s="75" t="str">
        <f t="shared" ca="1" si="77"/>
        <v/>
      </c>
      <c r="AF60" s="75" t="str">
        <f t="shared" ca="1" si="77"/>
        <v/>
      </c>
      <c r="AG60" s="75" t="str">
        <f t="shared" ca="1" si="77"/>
        <v/>
      </c>
      <c r="AH60" s="75" t="str">
        <f t="shared" ca="1" si="77"/>
        <v/>
      </c>
      <c r="AI60" s="75" t="str">
        <f t="shared" ca="1" si="77"/>
        <v/>
      </c>
      <c r="AJ60" s="76" t="str">
        <f t="shared" ca="1" si="8"/>
        <v/>
      </c>
      <c r="AK60" s="76" t="str">
        <f t="shared" ca="1" si="9"/>
        <v/>
      </c>
      <c r="AL60" s="33" t="str">
        <f t="shared" ca="1" si="67"/>
        <v/>
      </c>
      <c r="AM60" s="33" t="str">
        <f t="shared" ca="1" si="67"/>
        <v/>
      </c>
      <c r="AN60" s="33" t="str">
        <f t="shared" ca="1" si="67"/>
        <v/>
      </c>
      <c r="AO60" s="33" t="str">
        <f t="shared" ca="1" si="67"/>
        <v/>
      </c>
      <c r="AP60" s="33" t="str">
        <f t="shared" ca="1" si="67"/>
        <v/>
      </c>
      <c r="AQ60" s="33" t="str">
        <f t="shared" ca="1" si="67"/>
        <v/>
      </c>
      <c r="AR60" s="33" t="str">
        <f t="shared" ca="1" si="67"/>
        <v/>
      </c>
      <c r="AS60" s="33" t="str">
        <f t="shared" ca="1" si="67"/>
        <v/>
      </c>
      <c r="AT60" s="33" t="str">
        <f t="shared" ca="1" si="67"/>
        <v/>
      </c>
      <c r="AU60" s="33" t="str">
        <f t="shared" ca="1" si="67"/>
        <v/>
      </c>
      <c r="AV60" s="33" t="str">
        <f t="shared" ca="1" si="67"/>
        <v/>
      </c>
      <c r="AW60" s="33" t="str">
        <f t="shared" ca="1" si="67"/>
        <v/>
      </c>
      <c r="AX60" s="33" t="str">
        <f t="shared" ca="1" si="67"/>
        <v/>
      </c>
      <c r="AY60" s="33" t="str">
        <f t="shared" ca="1" si="67"/>
        <v/>
      </c>
      <c r="AZ60" s="33" t="str">
        <f t="shared" ca="1" si="67"/>
        <v/>
      </c>
      <c r="BA60" s="33" t="str">
        <f t="shared" ca="1" si="67"/>
        <v/>
      </c>
      <c r="BB60" s="33" t="str">
        <f t="shared" ca="1" si="65"/>
        <v/>
      </c>
      <c r="BC60" s="33" t="str">
        <f t="shared" ca="1" si="65"/>
        <v/>
      </c>
      <c r="BD60" s="33" t="str">
        <f t="shared" ca="1" si="65"/>
        <v/>
      </c>
      <c r="BE60" s="33" t="str">
        <f t="shared" ca="1" si="65"/>
        <v/>
      </c>
      <c r="BF60" s="33" t="str">
        <f t="shared" ca="1" si="65"/>
        <v/>
      </c>
      <c r="BG60" s="33" t="str">
        <f t="shared" ca="1" si="65"/>
        <v/>
      </c>
      <c r="BH60" s="33" t="str">
        <f t="shared" ca="1" si="65"/>
        <v/>
      </c>
      <c r="BI60" s="33" t="str">
        <f t="shared" ca="1" si="65"/>
        <v/>
      </c>
      <c r="BJ60" s="33" t="str">
        <f t="shared" ca="1" si="65"/>
        <v/>
      </c>
      <c r="BK60" s="33" t="str">
        <f t="shared" ca="1" si="65"/>
        <v/>
      </c>
      <c r="BL60" s="33" t="str">
        <f t="shared" ca="1" si="65"/>
        <v/>
      </c>
      <c r="BM60" s="33" t="str">
        <f t="shared" ca="1" si="65"/>
        <v/>
      </c>
      <c r="BN60" s="33" t="str">
        <f t="shared" ca="1" si="65"/>
        <v/>
      </c>
      <c r="BO60" s="33" t="str">
        <f t="shared" ca="1" si="65"/>
        <v/>
      </c>
      <c r="BP60" s="33" t="str">
        <f t="shared" ca="1" si="11"/>
        <v/>
      </c>
      <c r="BQ60" s="78" t="str">
        <f t="shared" ca="1" si="12"/>
        <v/>
      </c>
      <c r="BR60" s="78" t="str">
        <f t="shared" ca="1" si="13"/>
        <v/>
      </c>
      <c r="BS60" s="78" t="str">
        <f t="shared" ca="1" si="14"/>
        <v/>
      </c>
      <c r="BT60" s="78" t="str">
        <f t="shared" ca="1" si="19"/>
        <v/>
      </c>
      <c r="BU60" s="78" t="str">
        <f t="shared" ca="1" si="15"/>
        <v/>
      </c>
      <c r="BV60" s="78" t="str">
        <f t="shared" ca="1" si="16"/>
        <v/>
      </c>
    </row>
    <row r="61" spans="1:74" ht="15.75" customHeight="1" x14ac:dyDescent="0.25">
      <c r="A61" s="71" t="str">
        <f ca="1">IFERROR(__xludf.DUMMYFUNCTION("IFERROR(INDEX(FILTER(T4.2026!$A$2:$A$1000, T4.2026!$A$2:$A$1000&lt;&gt;""""), ROWS($A$9:A61)), """")"),"")</f>
        <v/>
      </c>
      <c r="B61" s="72" t="str">
        <f t="array" aca="1" ref="B61" ca="1">IF($A61="","",IFERROR(_xlfn.XLOOKUP($A61,'T4.2026'!$A$2:$A$1000,'T4.2026'!$B$2:$B$1000),""))</f>
        <v/>
      </c>
      <c r="C61" s="71" t="str">
        <f t="array" aca="1" ref="C61" ca="1">IF($A61="","",IFERROR(_xlfn.XLOOKUP($A61,'T4.2026'!$A$2:$A$1000,'T4.2026'!$C$2:$C$1000),""))</f>
        <v/>
      </c>
      <c r="D61" s="73" t="str">
        <f t="array" aca="1" ref="D61" ca="1">IF($A61="","",ROUND(IFERROR(_xlfn.XLOOKUP($A61,'T4.2026'!$A$2:$A$1000,'T4.2026'!$D$2:$D$1000),0),0))</f>
        <v/>
      </c>
      <c r="E61" s="73" t="str">
        <f t="array" aca="1" ref="E61" ca="1">IF($A61="","",IFERROR(_xlfn.XLOOKUP($A61,'T4.2026'!$A$2:$A$1000,'T4.2026'!$E$2:$E$1000),0))</f>
        <v/>
      </c>
      <c r="F61" s="75" t="str">
        <f t="shared" ca="1" si="6"/>
        <v/>
      </c>
      <c r="G61" s="75" t="str">
        <f t="shared" ref="G61:AI61" ca="1" si="78">IF($A61="","",IF(G$8=0,"",IF(SUM($AL61:$BO61)=0,0,ROUND($BU61*SUM($AL61:AM61)/SUM($AL61:$BO61),0)-ROUND($BU61*SUM($AL61:AL61)/SUM($AL61:$BO61),0))))</f>
        <v/>
      </c>
      <c r="H61" s="75" t="str">
        <f t="shared" ca="1" si="78"/>
        <v/>
      </c>
      <c r="I61" s="75" t="str">
        <f t="shared" ca="1" si="78"/>
        <v/>
      </c>
      <c r="J61" s="75" t="str">
        <f t="shared" ca="1" si="78"/>
        <v/>
      </c>
      <c r="K61" s="75" t="str">
        <f t="shared" ca="1" si="78"/>
        <v/>
      </c>
      <c r="L61" s="75" t="str">
        <f t="shared" ca="1" si="78"/>
        <v/>
      </c>
      <c r="M61" s="75" t="str">
        <f t="shared" ca="1" si="78"/>
        <v/>
      </c>
      <c r="N61" s="75" t="str">
        <f t="shared" ca="1" si="78"/>
        <v/>
      </c>
      <c r="O61" s="75" t="str">
        <f t="shared" ca="1" si="78"/>
        <v/>
      </c>
      <c r="P61" s="75" t="str">
        <f t="shared" ca="1" si="78"/>
        <v/>
      </c>
      <c r="Q61" s="75" t="str">
        <f t="shared" ca="1" si="78"/>
        <v/>
      </c>
      <c r="R61" s="75" t="str">
        <f t="shared" ca="1" si="78"/>
        <v/>
      </c>
      <c r="S61" s="75" t="str">
        <f t="shared" ca="1" si="78"/>
        <v/>
      </c>
      <c r="T61" s="75" t="str">
        <f t="shared" ca="1" si="78"/>
        <v/>
      </c>
      <c r="U61" s="75" t="str">
        <f t="shared" ca="1" si="78"/>
        <v/>
      </c>
      <c r="V61" s="75" t="str">
        <f t="shared" ca="1" si="78"/>
        <v/>
      </c>
      <c r="W61" s="75" t="str">
        <f t="shared" ca="1" si="78"/>
        <v/>
      </c>
      <c r="X61" s="75" t="str">
        <f t="shared" ca="1" si="78"/>
        <v/>
      </c>
      <c r="Y61" s="75" t="str">
        <f t="shared" ca="1" si="78"/>
        <v/>
      </c>
      <c r="Z61" s="75" t="str">
        <f t="shared" ca="1" si="78"/>
        <v/>
      </c>
      <c r="AA61" s="75" t="str">
        <f t="shared" ca="1" si="78"/>
        <v/>
      </c>
      <c r="AB61" s="75" t="str">
        <f t="shared" ca="1" si="78"/>
        <v/>
      </c>
      <c r="AC61" s="75" t="str">
        <f t="shared" ca="1" si="78"/>
        <v/>
      </c>
      <c r="AD61" s="75" t="str">
        <f t="shared" ca="1" si="78"/>
        <v/>
      </c>
      <c r="AE61" s="75" t="str">
        <f t="shared" ca="1" si="78"/>
        <v/>
      </c>
      <c r="AF61" s="75" t="str">
        <f t="shared" ca="1" si="78"/>
        <v/>
      </c>
      <c r="AG61" s="75" t="str">
        <f t="shared" ca="1" si="78"/>
        <v/>
      </c>
      <c r="AH61" s="75" t="str">
        <f t="shared" ca="1" si="78"/>
        <v/>
      </c>
      <c r="AI61" s="75" t="str">
        <f t="shared" ca="1" si="78"/>
        <v/>
      </c>
      <c r="AJ61" s="76" t="str">
        <f t="shared" ca="1" si="8"/>
        <v/>
      </c>
      <c r="AK61" s="76" t="str">
        <f t="shared" ca="1" si="9"/>
        <v/>
      </c>
      <c r="AL61" s="33" t="str">
        <f t="shared" ca="1" si="67"/>
        <v/>
      </c>
      <c r="AM61" s="33" t="str">
        <f t="shared" ca="1" si="67"/>
        <v/>
      </c>
      <c r="AN61" s="33" t="str">
        <f t="shared" ca="1" si="67"/>
        <v/>
      </c>
      <c r="AO61" s="33" t="str">
        <f t="shared" ca="1" si="67"/>
        <v/>
      </c>
      <c r="AP61" s="33" t="str">
        <f t="shared" ca="1" si="67"/>
        <v/>
      </c>
      <c r="AQ61" s="33" t="str">
        <f t="shared" ca="1" si="67"/>
        <v/>
      </c>
      <c r="AR61" s="33" t="str">
        <f t="shared" ca="1" si="67"/>
        <v/>
      </c>
      <c r="AS61" s="33" t="str">
        <f t="shared" ca="1" si="67"/>
        <v/>
      </c>
      <c r="AT61" s="33" t="str">
        <f t="shared" ca="1" si="67"/>
        <v/>
      </c>
      <c r="AU61" s="33" t="str">
        <f t="shared" ca="1" si="67"/>
        <v/>
      </c>
      <c r="AV61" s="33" t="str">
        <f t="shared" ca="1" si="67"/>
        <v/>
      </c>
      <c r="AW61" s="33" t="str">
        <f t="shared" ca="1" si="67"/>
        <v/>
      </c>
      <c r="AX61" s="33" t="str">
        <f t="shared" ca="1" si="67"/>
        <v/>
      </c>
      <c r="AY61" s="33" t="str">
        <f t="shared" ca="1" si="67"/>
        <v/>
      </c>
      <c r="AZ61" s="33" t="str">
        <f t="shared" ca="1" si="67"/>
        <v/>
      </c>
      <c r="BA61" s="33" t="str">
        <f t="shared" ca="1" si="67"/>
        <v/>
      </c>
      <c r="BB61" s="33" t="str">
        <f t="shared" ca="1" si="65"/>
        <v/>
      </c>
      <c r="BC61" s="33" t="str">
        <f t="shared" ca="1" si="65"/>
        <v/>
      </c>
      <c r="BD61" s="33" t="str">
        <f t="shared" ca="1" si="65"/>
        <v/>
      </c>
      <c r="BE61" s="33" t="str">
        <f t="shared" ca="1" si="65"/>
        <v/>
      </c>
      <c r="BF61" s="33" t="str">
        <f t="shared" ca="1" si="65"/>
        <v/>
      </c>
      <c r="BG61" s="33" t="str">
        <f t="shared" ca="1" si="65"/>
        <v/>
      </c>
      <c r="BH61" s="33" t="str">
        <f t="shared" ca="1" si="65"/>
        <v/>
      </c>
      <c r="BI61" s="33" t="str">
        <f t="shared" ca="1" si="65"/>
        <v/>
      </c>
      <c r="BJ61" s="33" t="str">
        <f t="shared" ca="1" si="65"/>
        <v/>
      </c>
      <c r="BK61" s="33" t="str">
        <f t="shared" ca="1" si="65"/>
        <v/>
      </c>
      <c r="BL61" s="33" t="str">
        <f t="shared" ca="1" si="65"/>
        <v/>
      </c>
      <c r="BM61" s="33" t="str">
        <f t="shared" ca="1" si="65"/>
        <v/>
      </c>
      <c r="BN61" s="33" t="str">
        <f t="shared" ca="1" si="65"/>
        <v/>
      </c>
      <c r="BO61" s="33" t="str">
        <f t="shared" ca="1" si="65"/>
        <v/>
      </c>
      <c r="BP61" s="33" t="str">
        <f t="shared" ca="1" si="11"/>
        <v/>
      </c>
      <c r="BQ61" s="78" t="str">
        <f t="shared" ca="1" si="12"/>
        <v/>
      </c>
      <c r="BR61" s="78" t="str">
        <f t="shared" ca="1" si="13"/>
        <v/>
      </c>
      <c r="BS61" s="78" t="str">
        <f t="shared" ca="1" si="14"/>
        <v/>
      </c>
      <c r="BT61" s="78" t="str">
        <f t="shared" ca="1" si="19"/>
        <v/>
      </c>
      <c r="BU61" s="78" t="str">
        <f t="shared" ca="1" si="15"/>
        <v/>
      </c>
      <c r="BV61" s="78" t="str">
        <f t="shared" ca="1" si="16"/>
        <v/>
      </c>
    </row>
    <row r="62" spans="1:74" ht="15.75" customHeight="1" x14ac:dyDescent="0.25">
      <c r="A62" s="71" t="str">
        <f ca="1">IFERROR(__xludf.DUMMYFUNCTION("IFERROR(INDEX(FILTER(T4.2026!$A$2:$A$1000, T4.2026!$A$2:$A$1000&lt;&gt;""""), ROWS($A$9:A62)), """")"),"")</f>
        <v/>
      </c>
      <c r="B62" s="72" t="str">
        <f t="array" aca="1" ref="B62" ca="1">IF($A62="","",IFERROR(_xlfn.XLOOKUP($A62,'T4.2026'!$A$2:$A$1000,'T4.2026'!$B$2:$B$1000),""))</f>
        <v/>
      </c>
      <c r="C62" s="71" t="str">
        <f t="array" aca="1" ref="C62" ca="1">IF($A62="","",IFERROR(_xlfn.XLOOKUP($A62,'T4.2026'!$A$2:$A$1000,'T4.2026'!$C$2:$C$1000),""))</f>
        <v/>
      </c>
      <c r="D62" s="73" t="str">
        <f t="array" aca="1" ref="D62" ca="1">IF($A62="","",ROUND(IFERROR(_xlfn.XLOOKUP($A62,'T4.2026'!$A$2:$A$1000,'T4.2026'!$D$2:$D$1000),0),0))</f>
        <v/>
      </c>
      <c r="E62" s="73" t="str">
        <f t="array" aca="1" ref="E62" ca="1">IF($A62="","",IFERROR(_xlfn.XLOOKUP($A62,'T4.2026'!$A$2:$A$1000,'T4.2026'!$E$2:$E$1000),0))</f>
        <v/>
      </c>
      <c r="F62" s="75" t="str">
        <f t="shared" ca="1" si="6"/>
        <v/>
      </c>
      <c r="G62" s="75" t="str">
        <f t="shared" ref="G62:AI62" ca="1" si="79">IF($A62="","",IF(G$8=0,"",IF(SUM($AL62:$BO62)=0,0,ROUND($BU62*SUM($AL62:AM62)/SUM($AL62:$BO62),0)-ROUND($BU62*SUM($AL62:AL62)/SUM($AL62:$BO62),0))))</f>
        <v/>
      </c>
      <c r="H62" s="75" t="str">
        <f t="shared" ca="1" si="79"/>
        <v/>
      </c>
      <c r="I62" s="75" t="str">
        <f t="shared" ca="1" si="79"/>
        <v/>
      </c>
      <c r="J62" s="75" t="str">
        <f t="shared" ca="1" si="79"/>
        <v/>
      </c>
      <c r="K62" s="75" t="str">
        <f t="shared" ca="1" si="79"/>
        <v/>
      </c>
      <c r="L62" s="75" t="str">
        <f t="shared" ca="1" si="79"/>
        <v/>
      </c>
      <c r="M62" s="75" t="str">
        <f t="shared" ca="1" si="79"/>
        <v/>
      </c>
      <c r="N62" s="75" t="str">
        <f t="shared" ca="1" si="79"/>
        <v/>
      </c>
      <c r="O62" s="75" t="str">
        <f t="shared" ca="1" si="79"/>
        <v/>
      </c>
      <c r="P62" s="75" t="str">
        <f t="shared" ca="1" si="79"/>
        <v/>
      </c>
      <c r="Q62" s="75" t="str">
        <f t="shared" ca="1" si="79"/>
        <v/>
      </c>
      <c r="R62" s="75" t="str">
        <f t="shared" ca="1" si="79"/>
        <v/>
      </c>
      <c r="S62" s="75" t="str">
        <f t="shared" ca="1" si="79"/>
        <v/>
      </c>
      <c r="T62" s="75" t="str">
        <f t="shared" ca="1" si="79"/>
        <v/>
      </c>
      <c r="U62" s="75" t="str">
        <f t="shared" ca="1" si="79"/>
        <v/>
      </c>
      <c r="V62" s="75" t="str">
        <f t="shared" ca="1" si="79"/>
        <v/>
      </c>
      <c r="W62" s="75" t="str">
        <f t="shared" ca="1" si="79"/>
        <v/>
      </c>
      <c r="X62" s="75" t="str">
        <f t="shared" ca="1" si="79"/>
        <v/>
      </c>
      <c r="Y62" s="75" t="str">
        <f t="shared" ca="1" si="79"/>
        <v/>
      </c>
      <c r="Z62" s="75" t="str">
        <f t="shared" ca="1" si="79"/>
        <v/>
      </c>
      <c r="AA62" s="75" t="str">
        <f t="shared" ca="1" si="79"/>
        <v/>
      </c>
      <c r="AB62" s="75" t="str">
        <f t="shared" ca="1" si="79"/>
        <v/>
      </c>
      <c r="AC62" s="75" t="str">
        <f t="shared" ca="1" si="79"/>
        <v/>
      </c>
      <c r="AD62" s="75" t="str">
        <f t="shared" ca="1" si="79"/>
        <v/>
      </c>
      <c r="AE62" s="75" t="str">
        <f t="shared" ca="1" si="79"/>
        <v/>
      </c>
      <c r="AF62" s="75" t="str">
        <f t="shared" ca="1" si="79"/>
        <v/>
      </c>
      <c r="AG62" s="75" t="str">
        <f t="shared" ca="1" si="79"/>
        <v/>
      </c>
      <c r="AH62" s="75" t="str">
        <f t="shared" ca="1" si="79"/>
        <v/>
      </c>
      <c r="AI62" s="75" t="str">
        <f t="shared" ca="1" si="79"/>
        <v/>
      </c>
      <c r="AJ62" s="76" t="str">
        <f t="shared" ca="1" si="8"/>
        <v/>
      </c>
      <c r="AK62" s="76" t="str">
        <f t="shared" ca="1" si="9"/>
        <v/>
      </c>
      <c r="AL62" s="33" t="str">
        <f t="shared" ca="1" si="67"/>
        <v/>
      </c>
      <c r="AM62" s="33" t="str">
        <f t="shared" ca="1" si="67"/>
        <v/>
      </c>
      <c r="AN62" s="33" t="str">
        <f t="shared" ca="1" si="67"/>
        <v/>
      </c>
      <c r="AO62" s="33" t="str">
        <f t="shared" ca="1" si="67"/>
        <v/>
      </c>
      <c r="AP62" s="33" t="str">
        <f t="shared" ca="1" si="67"/>
        <v/>
      </c>
      <c r="AQ62" s="33" t="str">
        <f t="shared" ca="1" si="67"/>
        <v/>
      </c>
      <c r="AR62" s="33" t="str">
        <f t="shared" ca="1" si="67"/>
        <v/>
      </c>
      <c r="AS62" s="33" t="str">
        <f t="shared" ca="1" si="67"/>
        <v/>
      </c>
      <c r="AT62" s="33" t="str">
        <f t="shared" ca="1" si="67"/>
        <v/>
      </c>
      <c r="AU62" s="33" t="str">
        <f t="shared" ca="1" si="67"/>
        <v/>
      </c>
      <c r="AV62" s="33" t="str">
        <f t="shared" ca="1" si="67"/>
        <v/>
      </c>
      <c r="AW62" s="33" t="str">
        <f t="shared" ca="1" si="67"/>
        <v/>
      </c>
      <c r="AX62" s="33" t="str">
        <f t="shared" ca="1" si="67"/>
        <v/>
      </c>
      <c r="AY62" s="33" t="str">
        <f t="shared" ca="1" si="67"/>
        <v/>
      </c>
      <c r="AZ62" s="33" t="str">
        <f t="shared" ca="1" si="67"/>
        <v/>
      </c>
      <c r="BA62" s="33" t="str">
        <f t="shared" ca="1" si="67"/>
        <v/>
      </c>
      <c r="BB62" s="33" t="str">
        <f t="shared" ca="1" si="65"/>
        <v/>
      </c>
      <c r="BC62" s="33" t="str">
        <f t="shared" ca="1" si="65"/>
        <v/>
      </c>
      <c r="BD62" s="33" t="str">
        <f t="shared" ca="1" si="65"/>
        <v/>
      </c>
      <c r="BE62" s="33" t="str">
        <f t="shared" ca="1" si="65"/>
        <v/>
      </c>
      <c r="BF62" s="33" t="str">
        <f t="shared" ca="1" si="65"/>
        <v/>
      </c>
      <c r="BG62" s="33" t="str">
        <f t="shared" ca="1" si="65"/>
        <v/>
      </c>
      <c r="BH62" s="33" t="str">
        <f t="shared" ca="1" si="65"/>
        <v/>
      </c>
      <c r="BI62" s="33" t="str">
        <f t="shared" ca="1" si="65"/>
        <v/>
      </c>
      <c r="BJ62" s="33" t="str">
        <f t="shared" ca="1" si="65"/>
        <v/>
      </c>
      <c r="BK62" s="33" t="str">
        <f t="shared" ca="1" si="65"/>
        <v/>
      </c>
      <c r="BL62" s="33" t="str">
        <f t="shared" ca="1" si="65"/>
        <v/>
      </c>
      <c r="BM62" s="33" t="str">
        <f t="shared" ca="1" si="65"/>
        <v/>
      </c>
      <c r="BN62" s="33" t="str">
        <f t="shared" ca="1" si="65"/>
        <v/>
      </c>
      <c r="BO62" s="33" t="str">
        <f t="shared" ca="1" si="65"/>
        <v/>
      </c>
      <c r="BP62" s="33" t="str">
        <f t="shared" ca="1" si="11"/>
        <v/>
      </c>
      <c r="BQ62" s="78" t="str">
        <f t="shared" ca="1" si="12"/>
        <v/>
      </c>
      <c r="BR62" s="78" t="str">
        <f t="shared" ca="1" si="13"/>
        <v/>
      </c>
      <c r="BS62" s="78" t="str">
        <f t="shared" ca="1" si="14"/>
        <v/>
      </c>
      <c r="BT62" s="78" t="str">
        <f t="shared" ca="1" si="19"/>
        <v/>
      </c>
      <c r="BU62" s="78" t="str">
        <f t="shared" ca="1" si="15"/>
        <v/>
      </c>
      <c r="BV62" s="78" t="str">
        <f t="shared" ca="1" si="16"/>
        <v/>
      </c>
    </row>
    <row r="63" spans="1:74" ht="15.75" customHeight="1" x14ac:dyDescent="0.25">
      <c r="A63" s="71" t="str">
        <f ca="1">IFERROR(__xludf.DUMMYFUNCTION("IFERROR(INDEX(FILTER(T4.2026!$A$2:$A$1000, T4.2026!$A$2:$A$1000&lt;&gt;""""), ROWS($A$9:A63)), """")"),"")</f>
        <v/>
      </c>
      <c r="B63" s="72" t="str">
        <f t="array" aca="1" ref="B63" ca="1">IF($A63="","",IFERROR(_xlfn.XLOOKUP($A63,'T4.2026'!$A$2:$A$1000,'T4.2026'!$B$2:$B$1000),""))</f>
        <v/>
      </c>
      <c r="C63" s="71" t="str">
        <f t="array" aca="1" ref="C63" ca="1">IF($A63="","",IFERROR(_xlfn.XLOOKUP($A63,'T4.2026'!$A$2:$A$1000,'T4.2026'!$C$2:$C$1000),""))</f>
        <v/>
      </c>
      <c r="D63" s="73" t="str">
        <f t="array" aca="1" ref="D63" ca="1">IF($A63="","",ROUND(IFERROR(_xlfn.XLOOKUP($A63,'T4.2026'!$A$2:$A$1000,'T4.2026'!$D$2:$D$1000),0),0))</f>
        <v/>
      </c>
      <c r="E63" s="73" t="str">
        <f t="array" aca="1" ref="E63" ca="1">IF($A63="","",IFERROR(_xlfn.XLOOKUP($A63,'T4.2026'!$A$2:$A$1000,'T4.2026'!$E$2:$E$1000),0))</f>
        <v/>
      </c>
      <c r="F63" s="75" t="str">
        <f t="shared" ca="1" si="6"/>
        <v/>
      </c>
      <c r="G63" s="75" t="str">
        <f t="shared" ref="G63:AI63" ca="1" si="80">IF($A63="","",IF(G$8=0,"",IF(SUM($AL63:$BO63)=0,0,ROUND($BU63*SUM($AL63:AM63)/SUM($AL63:$BO63),0)-ROUND($BU63*SUM($AL63:AL63)/SUM($AL63:$BO63),0))))</f>
        <v/>
      </c>
      <c r="H63" s="75" t="str">
        <f t="shared" ca="1" si="80"/>
        <v/>
      </c>
      <c r="I63" s="75" t="str">
        <f t="shared" ca="1" si="80"/>
        <v/>
      </c>
      <c r="J63" s="75" t="str">
        <f t="shared" ca="1" si="80"/>
        <v/>
      </c>
      <c r="K63" s="75" t="str">
        <f t="shared" ca="1" si="80"/>
        <v/>
      </c>
      <c r="L63" s="75" t="str">
        <f t="shared" ca="1" si="80"/>
        <v/>
      </c>
      <c r="M63" s="75" t="str">
        <f t="shared" ca="1" si="80"/>
        <v/>
      </c>
      <c r="N63" s="75" t="str">
        <f t="shared" ca="1" si="80"/>
        <v/>
      </c>
      <c r="O63" s="75" t="str">
        <f t="shared" ca="1" si="80"/>
        <v/>
      </c>
      <c r="P63" s="75" t="str">
        <f t="shared" ca="1" si="80"/>
        <v/>
      </c>
      <c r="Q63" s="75" t="str">
        <f t="shared" ca="1" si="80"/>
        <v/>
      </c>
      <c r="R63" s="75" t="str">
        <f t="shared" ca="1" si="80"/>
        <v/>
      </c>
      <c r="S63" s="75" t="str">
        <f t="shared" ca="1" si="80"/>
        <v/>
      </c>
      <c r="T63" s="75" t="str">
        <f t="shared" ca="1" si="80"/>
        <v/>
      </c>
      <c r="U63" s="75" t="str">
        <f t="shared" ca="1" si="80"/>
        <v/>
      </c>
      <c r="V63" s="75" t="str">
        <f t="shared" ca="1" si="80"/>
        <v/>
      </c>
      <c r="W63" s="75" t="str">
        <f t="shared" ca="1" si="80"/>
        <v/>
      </c>
      <c r="X63" s="75" t="str">
        <f t="shared" ca="1" si="80"/>
        <v/>
      </c>
      <c r="Y63" s="75" t="str">
        <f t="shared" ca="1" si="80"/>
        <v/>
      </c>
      <c r="Z63" s="75" t="str">
        <f t="shared" ca="1" si="80"/>
        <v/>
      </c>
      <c r="AA63" s="75" t="str">
        <f t="shared" ca="1" si="80"/>
        <v/>
      </c>
      <c r="AB63" s="75" t="str">
        <f t="shared" ca="1" si="80"/>
        <v/>
      </c>
      <c r="AC63" s="75" t="str">
        <f t="shared" ca="1" si="80"/>
        <v/>
      </c>
      <c r="AD63" s="75" t="str">
        <f t="shared" ca="1" si="80"/>
        <v/>
      </c>
      <c r="AE63" s="75" t="str">
        <f t="shared" ca="1" si="80"/>
        <v/>
      </c>
      <c r="AF63" s="75" t="str">
        <f t="shared" ca="1" si="80"/>
        <v/>
      </c>
      <c r="AG63" s="75" t="str">
        <f t="shared" ca="1" si="80"/>
        <v/>
      </c>
      <c r="AH63" s="75" t="str">
        <f t="shared" ca="1" si="80"/>
        <v/>
      </c>
      <c r="AI63" s="75" t="str">
        <f t="shared" ca="1" si="80"/>
        <v/>
      </c>
      <c r="AJ63" s="76" t="str">
        <f t="shared" ca="1" si="8"/>
        <v/>
      </c>
      <c r="AK63" s="76" t="str">
        <f t="shared" ca="1" si="9"/>
        <v/>
      </c>
      <c r="AL63" s="33" t="str">
        <f t="shared" ca="1" si="67"/>
        <v/>
      </c>
      <c r="AM63" s="33" t="str">
        <f t="shared" ca="1" si="67"/>
        <v/>
      </c>
      <c r="AN63" s="33" t="str">
        <f t="shared" ca="1" si="67"/>
        <v/>
      </c>
      <c r="AO63" s="33" t="str">
        <f t="shared" ca="1" si="67"/>
        <v/>
      </c>
      <c r="AP63" s="33" t="str">
        <f t="shared" ca="1" si="67"/>
        <v/>
      </c>
      <c r="AQ63" s="33" t="str">
        <f t="shared" ca="1" si="67"/>
        <v/>
      </c>
      <c r="AR63" s="33" t="str">
        <f t="shared" ca="1" si="67"/>
        <v/>
      </c>
      <c r="AS63" s="33" t="str">
        <f t="shared" ca="1" si="67"/>
        <v/>
      </c>
      <c r="AT63" s="33" t="str">
        <f t="shared" ca="1" si="67"/>
        <v/>
      </c>
      <c r="AU63" s="33" t="str">
        <f t="shared" ca="1" si="67"/>
        <v/>
      </c>
      <c r="AV63" s="33" t="str">
        <f t="shared" ca="1" si="67"/>
        <v/>
      </c>
      <c r="AW63" s="33" t="str">
        <f t="shared" ca="1" si="67"/>
        <v/>
      </c>
      <c r="AX63" s="33" t="str">
        <f t="shared" ca="1" si="67"/>
        <v/>
      </c>
      <c r="AY63" s="33" t="str">
        <f t="shared" ca="1" si="67"/>
        <v/>
      </c>
      <c r="AZ63" s="33" t="str">
        <f t="shared" ca="1" si="67"/>
        <v/>
      </c>
      <c r="BA63" s="33" t="str">
        <f t="shared" ca="1" si="67"/>
        <v/>
      </c>
      <c r="BB63" s="33" t="str">
        <f t="shared" ca="1" si="65"/>
        <v/>
      </c>
      <c r="BC63" s="33" t="str">
        <f t="shared" ca="1" si="65"/>
        <v/>
      </c>
      <c r="BD63" s="33" t="str">
        <f t="shared" ca="1" si="65"/>
        <v/>
      </c>
      <c r="BE63" s="33" t="str">
        <f t="shared" ca="1" si="65"/>
        <v/>
      </c>
      <c r="BF63" s="33" t="str">
        <f t="shared" ca="1" si="65"/>
        <v/>
      </c>
      <c r="BG63" s="33" t="str">
        <f t="shared" ca="1" si="65"/>
        <v/>
      </c>
      <c r="BH63" s="33" t="str">
        <f t="shared" ca="1" si="65"/>
        <v/>
      </c>
      <c r="BI63" s="33" t="str">
        <f t="shared" ca="1" si="65"/>
        <v/>
      </c>
      <c r="BJ63" s="33" t="str">
        <f t="shared" ca="1" si="65"/>
        <v/>
      </c>
      <c r="BK63" s="33" t="str">
        <f t="shared" ca="1" si="65"/>
        <v/>
      </c>
      <c r="BL63" s="33" t="str">
        <f t="shared" ca="1" si="65"/>
        <v/>
      </c>
      <c r="BM63" s="33" t="str">
        <f t="shared" ca="1" si="65"/>
        <v/>
      </c>
      <c r="BN63" s="33" t="str">
        <f t="shared" ca="1" si="65"/>
        <v/>
      </c>
      <c r="BO63" s="33" t="str">
        <f t="shared" ca="1" si="65"/>
        <v/>
      </c>
      <c r="BP63" s="33" t="str">
        <f t="shared" ca="1" si="11"/>
        <v/>
      </c>
      <c r="BQ63" s="78" t="str">
        <f t="shared" ca="1" si="12"/>
        <v/>
      </c>
      <c r="BR63" s="78" t="str">
        <f t="shared" ca="1" si="13"/>
        <v/>
      </c>
      <c r="BS63" s="78" t="str">
        <f t="shared" ca="1" si="14"/>
        <v/>
      </c>
      <c r="BT63" s="78" t="str">
        <f t="shared" ca="1" si="19"/>
        <v/>
      </c>
      <c r="BU63" s="78" t="str">
        <f t="shared" ca="1" si="15"/>
        <v/>
      </c>
      <c r="BV63" s="78" t="str">
        <f t="shared" ca="1" si="16"/>
        <v/>
      </c>
    </row>
    <row r="64" spans="1:74" ht="15.75" customHeight="1" x14ac:dyDescent="0.25">
      <c r="A64" s="71" t="str">
        <f ca="1">IFERROR(__xludf.DUMMYFUNCTION("IFERROR(INDEX(FILTER(T4.2026!$A$2:$A$1000, T4.2026!$A$2:$A$1000&lt;&gt;""""), ROWS($A$9:A64)), """")"),"")</f>
        <v/>
      </c>
      <c r="B64" s="72" t="str">
        <f t="array" aca="1" ref="B64" ca="1">IF($A64="","",IFERROR(_xlfn.XLOOKUP($A64,'T4.2026'!$A$2:$A$1000,'T4.2026'!$B$2:$B$1000),""))</f>
        <v/>
      </c>
      <c r="C64" s="71" t="str">
        <f t="array" aca="1" ref="C64" ca="1">IF($A64="","",IFERROR(_xlfn.XLOOKUP($A64,'T4.2026'!$A$2:$A$1000,'T4.2026'!$C$2:$C$1000),""))</f>
        <v/>
      </c>
      <c r="D64" s="73" t="str">
        <f t="array" aca="1" ref="D64" ca="1">IF($A64="","",ROUND(IFERROR(_xlfn.XLOOKUP($A64,'T4.2026'!$A$2:$A$1000,'T4.2026'!$D$2:$D$1000),0),0))</f>
        <v/>
      </c>
      <c r="E64" s="73" t="str">
        <f t="array" aca="1" ref="E64" ca="1">IF($A64="","",IFERROR(_xlfn.XLOOKUP($A64,'T4.2026'!$A$2:$A$1000,'T4.2026'!$E$2:$E$1000),0))</f>
        <v/>
      </c>
      <c r="F64" s="75" t="str">
        <f t="shared" ca="1" si="6"/>
        <v/>
      </c>
      <c r="G64" s="75" t="str">
        <f t="shared" ref="G64:AI64" ca="1" si="81">IF($A64="","",IF(G$8=0,"",IF(SUM($AL64:$BO64)=0,0,ROUND($BU64*SUM($AL64:AM64)/SUM($AL64:$BO64),0)-ROUND($BU64*SUM($AL64:AL64)/SUM($AL64:$BO64),0))))</f>
        <v/>
      </c>
      <c r="H64" s="75" t="str">
        <f t="shared" ca="1" si="81"/>
        <v/>
      </c>
      <c r="I64" s="75" t="str">
        <f t="shared" ca="1" si="81"/>
        <v/>
      </c>
      <c r="J64" s="75" t="str">
        <f t="shared" ca="1" si="81"/>
        <v/>
      </c>
      <c r="K64" s="75" t="str">
        <f t="shared" ca="1" si="81"/>
        <v/>
      </c>
      <c r="L64" s="75" t="str">
        <f t="shared" ca="1" si="81"/>
        <v/>
      </c>
      <c r="M64" s="75" t="str">
        <f t="shared" ca="1" si="81"/>
        <v/>
      </c>
      <c r="N64" s="75" t="str">
        <f t="shared" ca="1" si="81"/>
        <v/>
      </c>
      <c r="O64" s="75" t="str">
        <f t="shared" ca="1" si="81"/>
        <v/>
      </c>
      <c r="P64" s="75" t="str">
        <f t="shared" ca="1" si="81"/>
        <v/>
      </c>
      <c r="Q64" s="75" t="str">
        <f t="shared" ca="1" si="81"/>
        <v/>
      </c>
      <c r="R64" s="75" t="str">
        <f t="shared" ca="1" si="81"/>
        <v/>
      </c>
      <c r="S64" s="75" t="str">
        <f t="shared" ca="1" si="81"/>
        <v/>
      </c>
      <c r="T64" s="75" t="str">
        <f t="shared" ca="1" si="81"/>
        <v/>
      </c>
      <c r="U64" s="75" t="str">
        <f t="shared" ca="1" si="81"/>
        <v/>
      </c>
      <c r="V64" s="75" t="str">
        <f t="shared" ca="1" si="81"/>
        <v/>
      </c>
      <c r="W64" s="75" t="str">
        <f t="shared" ca="1" si="81"/>
        <v/>
      </c>
      <c r="X64" s="75" t="str">
        <f t="shared" ca="1" si="81"/>
        <v/>
      </c>
      <c r="Y64" s="75" t="str">
        <f t="shared" ca="1" si="81"/>
        <v/>
      </c>
      <c r="Z64" s="75" t="str">
        <f t="shared" ca="1" si="81"/>
        <v/>
      </c>
      <c r="AA64" s="75" t="str">
        <f t="shared" ca="1" si="81"/>
        <v/>
      </c>
      <c r="AB64" s="75" t="str">
        <f t="shared" ca="1" si="81"/>
        <v/>
      </c>
      <c r="AC64" s="75" t="str">
        <f t="shared" ca="1" si="81"/>
        <v/>
      </c>
      <c r="AD64" s="75" t="str">
        <f t="shared" ca="1" si="81"/>
        <v/>
      </c>
      <c r="AE64" s="75" t="str">
        <f t="shared" ca="1" si="81"/>
        <v/>
      </c>
      <c r="AF64" s="75" t="str">
        <f t="shared" ca="1" si="81"/>
        <v/>
      </c>
      <c r="AG64" s="75" t="str">
        <f t="shared" ca="1" si="81"/>
        <v/>
      </c>
      <c r="AH64" s="75" t="str">
        <f t="shared" ca="1" si="81"/>
        <v/>
      </c>
      <c r="AI64" s="75" t="str">
        <f t="shared" ca="1" si="81"/>
        <v/>
      </c>
      <c r="AJ64" s="76" t="str">
        <f t="shared" ca="1" si="8"/>
        <v/>
      </c>
      <c r="AK64" s="76" t="str">
        <f t="shared" ca="1" si="9"/>
        <v/>
      </c>
      <c r="AL64" s="33" t="str">
        <f t="shared" ca="1" si="67"/>
        <v/>
      </c>
      <c r="AM64" s="33" t="str">
        <f t="shared" ca="1" si="67"/>
        <v/>
      </c>
      <c r="AN64" s="33" t="str">
        <f t="shared" ca="1" si="67"/>
        <v/>
      </c>
      <c r="AO64" s="33" t="str">
        <f t="shared" ca="1" si="67"/>
        <v/>
      </c>
      <c r="AP64" s="33" t="str">
        <f t="shared" ca="1" si="67"/>
        <v/>
      </c>
      <c r="AQ64" s="33" t="str">
        <f t="shared" ca="1" si="67"/>
        <v/>
      </c>
      <c r="AR64" s="33" t="str">
        <f t="shared" ca="1" si="67"/>
        <v/>
      </c>
      <c r="AS64" s="33" t="str">
        <f t="shared" ca="1" si="67"/>
        <v/>
      </c>
      <c r="AT64" s="33" t="str">
        <f t="shared" ca="1" si="67"/>
        <v/>
      </c>
      <c r="AU64" s="33" t="str">
        <f t="shared" ca="1" si="67"/>
        <v/>
      </c>
      <c r="AV64" s="33" t="str">
        <f t="shared" ca="1" si="67"/>
        <v/>
      </c>
      <c r="AW64" s="33" t="str">
        <f t="shared" ca="1" si="67"/>
        <v/>
      </c>
      <c r="AX64" s="33" t="str">
        <f t="shared" ca="1" si="67"/>
        <v/>
      </c>
      <c r="AY64" s="33" t="str">
        <f t="shared" ca="1" si="67"/>
        <v/>
      </c>
      <c r="AZ64" s="33" t="str">
        <f t="shared" ca="1" si="67"/>
        <v/>
      </c>
      <c r="BA64" s="33" t="str">
        <f t="shared" ca="1" si="67"/>
        <v/>
      </c>
      <c r="BB64" s="33" t="str">
        <f t="shared" ca="1" si="65"/>
        <v/>
      </c>
      <c r="BC64" s="33" t="str">
        <f t="shared" ca="1" si="65"/>
        <v/>
      </c>
      <c r="BD64" s="33" t="str">
        <f t="shared" ca="1" si="65"/>
        <v/>
      </c>
      <c r="BE64" s="33" t="str">
        <f t="shared" ca="1" si="65"/>
        <v/>
      </c>
      <c r="BF64" s="33" t="str">
        <f t="shared" ca="1" si="65"/>
        <v/>
      </c>
      <c r="BG64" s="33" t="str">
        <f t="shared" ca="1" si="65"/>
        <v/>
      </c>
      <c r="BH64" s="33" t="str">
        <f t="shared" ca="1" si="65"/>
        <v/>
      </c>
      <c r="BI64" s="33" t="str">
        <f t="shared" ca="1" si="65"/>
        <v/>
      </c>
      <c r="BJ64" s="33" t="str">
        <f t="shared" ca="1" si="65"/>
        <v/>
      </c>
      <c r="BK64" s="33" t="str">
        <f t="shared" ca="1" si="65"/>
        <v/>
      </c>
      <c r="BL64" s="33" t="str">
        <f t="shared" ca="1" si="65"/>
        <v/>
      </c>
      <c r="BM64" s="33" t="str">
        <f t="shared" ca="1" si="65"/>
        <v/>
      </c>
      <c r="BN64" s="33" t="str">
        <f t="shared" ca="1" si="65"/>
        <v/>
      </c>
      <c r="BO64" s="33" t="str">
        <f t="shared" ca="1" si="65"/>
        <v/>
      </c>
      <c r="BP64" s="33" t="str">
        <f t="shared" ca="1" si="11"/>
        <v/>
      </c>
      <c r="BQ64" s="78" t="str">
        <f t="shared" ca="1" si="12"/>
        <v/>
      </c>
      <c r="BR64" s="78" t="str">
        <f t="shared" ca="1" si="13"/>
        <v/>
      </c>
      <c r="BS64" s="78" t="str">
        <f t="shared" ca="1" si="14"/>
        <v/>
      </c>
      <c r="BT64" s="78" t="str">
        <f t="shared" ca="1" si="19"/>
        <v/>
      </c>
      <c r="BU64" s="78" t="str">
        <f t="shared" ca="1" si="15"/>
        <v/>
      </c>
      <c r="BV64" s="78" t="str">
        <f t="shared" ca="1" si="16"/>
        <v/>
      </c>
    </row>
    <row r="65" spans="1:74" ht="15.75" customHeight="1" x14ac:dyDescent="0.25">
      <c r="A65" s="71" t="str">
        <f ca="1">IFERROR(__xludf.DUMMYFUNCTION("IFERROR(INDEX(FILTER(T4.2026!$A$2:$A$1000, T4.2026!$A$2:$A$1000&lt;&gt;""""), ROWS($A$9:A65)), """")"),"")</f>
        <v/>
      </c>
      <c r="B65" s="72" t="str">
        <f t="array" aca="1" ref="B65" ca="1">IF($A65="","",IFERROR(_xlfn.XLOOKUP($A65,'T4.2026'!$A$2:$A$1000,'T4.2026'!$B$2:$B$1000),""))</f>
        <v/>
      </c>
      <c r="C65" s="71" t="str">
        <f t="array" aca="1" ref="C65" ca="1">IF($A65="","",IFERROR(_xlfn.XLOOKUP($A65,'T4.2026'!$A$2:$A$1000,'T4.2026'!$C$2:$C$1000),""))</f>
        <v/>
      </c>
      <c r="D65" s="73" t="str">
        <f t="array" aca="1" ref="D65" ca="1">IF($A65="","",ROUND(IFERROR(_xlfn.XLOOKUP($A65,'T4.2026'!$A$2:$A$1000,'T4.2026'!$D$2:$D$1000),0),0))</f>
        <v/>
      </c>
      <c r="E65" s="73" t="str">
        <f t="array" aca="1" ref="E65" ca="1">IF($A65="","",IFERROR(_xlfn.XLOOKUP($A65,'T4.2026'!$A$2:$A$1000,'T4.2026'!$E$2:$E$1000),0))</f>
        <v/>
      </c>
      <c r="F65" s="75" t="str">
        <f t="shared" ca="1" si="6"/>
        <v/>
      </c>
      <c r="G65" s="75" t="str">
        <f t="shared" ref="G65:AI65" ca="1" si="82">IF($A65="","",IF(G$8=0,"",IF(SUM($AL65:$BO65)=0,0,ROUND($BU65*SUM($AL65:AM65)/SUM($AL65:$BO65),0)-ROUND($BU65*SUM($AL65:AL65)/SUM($AL65:$BO65),0))))</f>
        <v/>
      </c>
      <c r="H65" s="75" t="str">
        <f t="shared" ca="1" si="82"/>
        <v/>
      </c>
      <c r="I65" s="75" t="str">
        <f t="shared" ca="1" si="82"/>
        <v/>
      </c>
      <c r="J65" s="75" t="str">
        <f t="shared" ca="1" si="82"/>
        <v/>
      </c>
      <c r="K65" s="75" t="str">
        <f t="shared" ca="1" si="82"/>
        <v/>
      </c>
      <c r="L65" s="75" t="str">
        <f t="shared" ca="1" si="82"/>
        <v/>
      </c>
      <c r="M65" s="75" t="str">
        <f t="shared" ca="1" si="82"/>
        <v/>
      </c>
      <c r="N65" s="75" t="str">
        <f t="shared" ca="1" si="82"/>
        <v/>
      </c>
      <c r="O65" s="75" t="str">
        <f t="shared" ca="1" si="82"/>
        <v/>
      </c>
      <c r="P65" s="75" t="str">
        <f t="shared" ca="1" si="82"/>
        <v/>
      </c>
      <c r="Q65" s="75" t="str">
        <f t="shared" ca="1" si="82"/>
        <v/>
      </c>
      <c r="R65" s="75" t="str">
        <f t="shared" ca="1" si="82"/>
        <v/>
      </c>
      <c r="S65" s="75" t="str">
        <f t="shared" ca="1" si="82"/>
        <v/>
      </c>
      <c r="T65" s="75" t="str">
        <f t="shared" ca="1" si="82"/>
        <v/>
      </c>
      <c r="U65" s="75" t="str">
        <f t="shared" ca="1" si="82"/>
        <v/>
      </c>
      <c r="V65" s="75" t="str">
        <f t="shared" ca="1" si="82"/>
        <v/>
      </c>
      <c r="W65" s="75" t="str">
        <f t="shared" ca="1" si="82"/>
        <v/>
      </c>
      <c r="X65" s="75" t="str">
        <f t="shared" ca="1" si="82"/>
        <v/>
      </c>
      <c r="Y65" s="75" t="str">
        <f t="shared" ca="1" si="82"/>
        <v/>
      </c>
      <c r="Z65" s="75" t="str">
        <f t="shared" ca="1" si="82"/>
        <v/>
      </c>
      <c r="AA65" s="75" t="str">
        <f t="shared" ca="1" si="82"/>
        <v/>
      </c>
      <c r="AB65" s="75" t="str">
        <f t="shared" ca="1" si="82"/>
        <v/>
      </c>
      <c r="AC65" s="75" t="str">
        <f t="shared" ca="1" si="82"/>
        <v/>
      </c>
      <c r="AD65" s="75" t="str">
        <f t="shared" ca="1" si="82"/>
        <v/>
      </c>
      <c r="AE65" s="75" t="str">
        <f t="shared" ca="1" si="82"/>
        <v/>
      </c>
      <c r="AF65" s="75" t="str">
        <f t="shared" ca="1" si="82"/>
        <v/>
      </c>
      <c r="AG65" s="75" t="str">
        <f t="shared" ca="1" si="82"/>
        <v/>
      </c>
      <c r="AH65" s="75" t="str">
        <f t="shared" ca="1" si="82"/>
        <v/>
      </c>
      <c r="AI65" s="75" t="str">
        <f t="shared" ca="1" si="82"/>
        <v/>
      </c>
      <c r="AJ65" s="76" t="str">
        <f t="shared" ca="1" si="8"/>
        <v/>
      </c>
      <c r="AK65" s="76" t="str">
        <f t="shared" ca="1" si="9"/>
        <v/>
      </c>
      <c r="AL65" s="33" t="str">
        <f t="shared" ca="1" si="67"/>
        <v/>
      </c>
      <c r="AM65" s="33" t="str">
        <f t="shared" ca="1" si="67"/>
        <v/>
      </c>
      <c r="AN65" s="33" t="str">
        <f t="shared" ca="1" si="67"/>
        <v/>
      </c>
      <c r="AO65" s="33" t="str">
        <f t="shared" ca="1" si="67"/>
        <v/>
      </c>
      <c r="AP65" s="33" t="str">
        <f t="shared" ca="1" si="67"/>
        <v/>
      </c>
      <c r="AQ65" s="33" t="str">
        <f t="shared" ca="1" si="67"/>
        <v/>
      </c>
      <c r="AR65" s="33" t="str">
        <f t="shared" ca="1" si="67"/>
        <v/>
      </c>
      <c r="AS65" s="33" t="str">
        <f t="shared" ca="1" si="67"/>
        <v/>
      </c>
      <c r="AT65" s="33" t="str">
        <f t="shared" ca="1" si="67"/>
        <v/>
      </c>
      <c r="AU65" s="33" t="str">
        <f t="shared" ca="1" si="67"/>
        <v/>
      </c>
      <c r="AV65" s="33" t="str">
        <f t="shared" ca="1" si="67"/>
        <v/>
      </c>
      <c r="AW65" s="33" t="str">
        <f t="shared" ca="1" si="67"/>
        <v/>
      </c>
      <c r="AX65" s="33" t="str">
        <f t="shared" ca="1" si="67"/>
        <v/>
      </c>
      <c r="AY65" s="33" t="str">
        <f t="shared" ca="1" si="67"/>
        <v/>
      </c>
      <c r="AZ65" s="33" t="str">
        <f t="shared" ca="1" si="67"/>
        <v/>
      </c>
      <c r="BA65" s="33" t="str">
        <f t="shared" ref="BA65:BO83" ca="1" si="83">IF($A65="","",IF((COLUMN()-COLUMN($AL$9))&gt;($B$3-1),0,MAX(0.1,1+$D$3*(0.6*(2*MOD(ABS(SIN((COLUMN()-COLUMN($AL$9)+1)*12.9898+$B$2*0.0001))*43758.5453,1)-1)+0.4*SIN(($BV65+COLUMN()-COLUMN($AL$9))*2*PI()/7)))))</f>
        <v/>
      </c>
      <c r="BB65" s="33" t="str">
        <f t="shared" ca="1" si="83"/>
        <v/>
      </c>
      <c r="BC65" s="33" t="str">
        <f t="shared" ca="1" si="83"/>
        <v/>
      </c>
      <c r="BD65" s="33" t="str">
        <f t="shared" ca="1" si="83"/>
        <v/>
      </c>
      <c r="BE65" s="33" t="str">
        <f t="shared" ca="1" si="83"/>
        <v/>
      </c>
      <c r="BF65" s="33" t="str">
        <f t="shared" ca="1" si="83"/>
        <v/>
      </c>
      <c r="BG65" s="33" t="str">
        <f t="shared" ca="1" si="83"/>
        <v/>
      </c>
      <c r="BH65" s="33" t="str">
        <f t="shared" ca="1" si="83"/>
        <v/>
      </c>
      <c r="BI65" s="33" t="str">
        <f t="shared" ca="1" si="83"/>
        <v/>
      </c>
      <c r="BJ65" s="33" t="str">
        <f t="shared" ca="1" si="83"/>
        <v/>
      </c>
      <c r="BK65" s="33" t="str">
        <f t="shared" ca="1" si="83"/>
        <v/>
      </c>
      <c r="BL65" s="33" t="str">
        <f t="shared" ca="1" si="83"/>
        <v/>
      </c>
      <c r="BM65" s="33" t="str">
        <f t="shared" ca="1" si="83"/>
        <v/>
      </c>
      <c r="BN65" s="33" t="str">
        <f t="shared" ca="1" si="83"/>
        <v/>
      </c>
      <c r="BO65" s="33" t="str">
        <f t="shared" ca="1" si="83"/>
        <v/>
      </c>
      <c r="BP65" s="33" t="str">
        <f t="shared" ca="1" si="11"/>
        <v/>
      </c>
      <c r="BQ65" s="78" t="str">
        <f t="shared" ca="1" si="12"/>
        <v/>
      </c>
      <c r="BR65" s="78" t="str">
        <f t="shared" ca="1" si="13"/>
        <v/>
      </c>
      <c r="BS65" s="78" t="str">
        <f t="shared" ca="1" si="14"/>
        <v/>
      </c>
      <c r="BT65" s="78" t="str">
        <f t="shared" ca="1" si="19"/>
        <v/>
      </c>
      <c r="BU65" s="78" t="str">
        <f t="shared" ca="1" si="15"/>
        <v/>
      </c>
      <c r="BV65" s="78" t="str">
        <f t="shared" ca="1" si="16"/>
        <v/>
      </c>
    </row>
    <row r="66" spans="1:74" ht="15.75" customHeight="1" x14ac:dyDescent="0.25">
      <c r="A66" s="71" t="str">
        <f ca="1">IFERROR(__xludf.DUMMYFUNCTION("IFERROR(INDEX(FILTER(T4.2026!$A$2:$A$1000, T4.2026!$A$2:$A$1000&lt;&gt;""""), ROWS($A$9:A66)), """")"),"")</f>
        <v/>
      </c>
      <c r="B66" s="72" t="str">
        <f t="array" aca="1" ref="B66" ca="1">IF($A66="","",IFERROR(_xlfn.XLOOKUP($A66,'T4.2026'!$A$2:$A$1000,'T4.2026'!$B$2:$B$1000),""))</f>
        <v/>
      </c>
      <c r="C66" s="71" t="str">
        <f t="array" aca="1" ref="C66" ca="1">IF($A66="","",IFERROR(_xlfn.XLOOKUP($A66,'T4.2026'!$A$2:$A$1000,'T4.2026'!$C$2:$C$1000),""))</f>
        <v/>
      </c>
      <c r="D66" s="73" t="str">
        <f t="array" aca="1" ref="D66" ca="1">IF($A66="","",ROUND(IFERROR(_xlfn.XLOOKUP($A66,'T4.2026'!$A$2:$A$1000,'T4.2026'!$D$2:$D$1000),0),0))</f>
        <v/>
      </c>
      <c r="E66" s="73" t="str">
        <f t="array" aca="1" ref="E66" ca="1">IF($A66="","",IFERROR(_xlfn.XLOOKUP($A66,'T4.2026'!$A$2:$A$1000,'T4.2026'!$E$2:$E$1000),0))</f>
        <v/>
      </c>
      <c r="F66" s="75" t="str">
        <f t="shared" ca="1" si="6"/>
        <v/>
      </c>
      <c r="G66" s="75" t="str">
        <f t="shared" ref="G66:AI66" ca="1" si="84">IF($A66="","",IF(G$8=0,"",IF(SUM($AL66:$BO66)=0,0,ROUND($BU66*SUM($AL66:AM66)/SUM($AL66:$BO66),0)-ROUND($BU66*SUM($AL66:AL66)/SUM($AL66:$BO66),0))))</f>
        <v/>
      </c>
      <c r="H66" s="75" t="str">
        <f t="shared" ca="1" si="84"/>
        <v/>
      </c>
      <c r="I66" s="75" t="str">
        <f t="shared" ca="1" si="84"/>
        <v/>
      </c>
      <c r="J66" s="75" t="str">
        <f t="shared" ca="1" si="84"/>
        <v/>
      </c>
      <c r="K66" s="75" t="str">
        <f t="shared" ca="1" si="84"/>
        <v/>
      </c>
      <c r="L66" s="75" t="str">
        <f t="shared" ca="1" si="84"/>
        <v/>
      </c>
      <c r="M66" s="75" t="str">
        <f t="shared" ca="1" si="84"/>
        <v/>
      </c>
      <c r="N66" s="75" t="str">
        <f t="shared" ca="1" si="84"/>
        <v/>
      </c>
      <c r="O66" s="75" t="str">
        <f t="shared" ca="1" si="84"/>
        <v/>
      </c>
      <c r="P66" s="75" t="str">
        <f t="shared" ca="1" si="84"/>
        <v/>
      </c>
      <c r="Q66" s="75" t="str">
        <f t="shared" ca="1" si="84"/>
        <v/>
      </c>
      <c r="R66" s="75" t="str">
        <f t="shared" ca="1" si="84"/>
        <v/>
      </c>
      <c r="S66" s="75" t="str">
        <f t="shared" ca="1" si="84"/>
        <v/>
      </c>
      <c r="T66" s="75" t="str">
        <f t="shared" ca="1" si="84"/>
        <v/>
      </c>
      <c r="U66" s="75" t="str">
        <f t="shared" ca="1" si="84"/>
        <v/>
      </c>
      <c r="V66" s="75" t="str">
        <f t="shared" ca="1" si="84"/>
        <v/>
      </c>
      <c r="W66" s="75" t="str">
        <f t="shared" ca="1" si="84"/>
        <v/>
      </c>
      <c r="X66" s="75" t="str">
        <f t="shared" ca="1" si="84"/>
        <v/>
      </c>
      <c r="Y66" s="75" t="str">
        <f t="shared" ca="1" si="84"/>
        <v/>
      </c>
      <c r="Z66" s="75" t="str">
        <f t="shared" ca="1" si="84"/>
        <v/>
      </c>
      <c r="AA66" s="75" t="str">
        <f t="shared" ca="1" si="84"/>
        <v/>
      </c>
      <c r="AB66" s="75" t="str">
        <f t="shared" ca="1" si="84"/>
        <v/>
      </c>
      <c r="AC66" s="75" t="str">
        <f t="shared" ca="1" si="84"/>
        <v/>
      </c>
      <c r="AD66" s="75" t="str">
        <f t="shared" ca="1" si="84"/>
        <v/>
      </c>
      <c r="AE66" s="75" t="str">
        <f t="shared" ca="1" si="84"/>
        <v/>
      </c>
      <c r="AF66" s="75" t="str">
        <f t="shared" ca="1" si="84"/>
        <v/>
      </c>
      <c r="AG66" s="75" t="str">
        <f t="shared" ca="1" si="84"/>
        <v/>
      </c>
      <c r="AH66" s="75" t="str">
        <f t="shared" ca="1" si="84"/>
        <v/>
      </c>
      <c r="AI66" s="75" t="str">
        <f t="shared" ca="1" si="84"/>
        <v/>
      </c>
      <c r="AJ66" s="76" t="str">
        <f t="shared" ca="1" si="8"/>
        <v/>
      </c>
      <c r="AK66" s="76" t="str">
        <f t="shared" ca="1" si="9"/>
        <v/>
      </c>
      <c r="AL66" s="33" t="str">
        <f t="shared" ref="AL66:BA83" ca="1" si="85">IF($A66="","",IF((COLUMN()-COLUMN($AL$9))&gt;($B$3-1),0,MAX(0.1,1+$D$3*(0.6*(2*MOD(ABS(SIN((COLUMN()-COLUMN($AL$9)+1)*12.9898+$B$2*0.0001))*43758.5453,1)-1)+0.4*SIN(($BV66+COLUMN()-COLUMN($AL$9))*2*PI()/7)))))</f>
        <v/>
      </c>
      <c r="AM66" s="33" t="str">
        <f t="shared" ca="1" si="85"/>
        <v/>
      </c>
      <c r="AN66" s="33" t="str">
        <f t="shared" ca="1" si="85"/>
        <v/>
      </c>
      <c r="AO66" s="33" t="str">
        <f t="shared" ca="1" si="85"/>
        <v/>
      </c>
      <c r="AP66" s="33" t="str">
        <f t="shared" ca="1" si="85"/>
        <v/>
      </c>
      <c r="AQ66" s="33" t="str">
        <f t="shared" ca="1" si="85"/>
        <v/>
      </c>
      <c r="AR66" s="33" t="str">
        <f t="shared" ca="1" si="85"/>
        <v/>
      </c>
      <c r="AS66" s="33" t="str">
        <f t="shared" ca="1" si="85"/>
        <v/>
      </c>
      <c r="AT66" s="33" t="str">
        <f t="shared" ca="1" si="85"/>
        <v/>
      </c>
      <c r="AU66" s="33" t="str">
        <f t="shared" ca="1" si="85"/>
        <v/>
      </c>
      <c r="AV66" s="33" t="str">
        <f t="shared" ca="1" si="85"/>
        <v/>
      </c>
      <c r="AW66" s="33" t="str">
        <f t="shared" ca="1" si="85"/>
        <v/>
      </c>
      <c r="AX66" s="33" t="str">
        <f t="shared" ca="1" si="85"/>
        <v/>
      </c>
      <c r="AY66" s="33" t="str">
        <f t="shared" ca="1" si="85"/>
        <v/>
      </c>
      <c r="AZ66" s="33" t="str">
        <f t="shared" ca="1" si="85"/>
        <v/>
      </c>
      <c r="BA66" s="33" t="str">
        <f t="shared" ca="1" si="85"/>
        <v/>
      </c>
      <c r="BB66" s="33" t="str">
        <f t="shared" ca="1" si="83"/>
        <v/>
      </c>
      <c r="BC66" s="33" t="str">
        <f t="shared" ca="1" si="83"/>
        <v/>
      </c>
      <c r="BD66" s="33" t="str">
        <f t="shared" ca="1" si="83"/>
        <v/>
      </c>
      <c r="BE66" s="33" t="str">
        <f t="shared" ca="1" si="83"/>
        <v/>
      </c>
      <c r="BF66" s="33" t="str">
        <f t="shared" ca="1" si="83"/>
        <v/>
      </c>
      <c r="BG66" s="33" t="str">
        <f t="shared" ca="1" si="83"/>
        <v/>
      </c>
      <c r="BH66" s="33" t="str">
        <f t="shared" ca="1" si="83"/>
        <v/>
      </c>
      <c r="BI66" s="33" t="str">
        <f t="shared" ca="1" si="83"/>
        <v/>
      </c>
      <c r="BJ66" s="33" t="str">
        <f t="shared" ca="1" si="83"/>
        <v/>
      </c>
      <c r="BK66" s="33" t="str">
        <f t="shared" ca="1" si="83"/>
        <v/>
      </c>
      <c r="BL66" s="33" t="str">
        <f t="shared" ca="1" si="83"/>
        <v/>
      </c>
      <c r="BM66" s="33" t="str">
        <f t="shared" ca="1" si="83"/>
        <v/>
      </c>
      <c r="BN66" s="33" t="str">
        <f t="shared" ca="1" si="83"/>
        <v/>
      </c>
      <c r="BO66" s="33" t="str">
        <f t="shared" ca="1" si="83"/>
        <v/>
      </c>
      <c r="BP66" s="33" t="str">
        <f t="shared" ca="1" si="11"/>
        <v/>
      </c>
      <c r="BQ66" s="78" t="str">
        <f t="shared" ca="1" si="12"/>
        <v/>
      </c>
      <c r="BR66" s="78" t="str">
        <f t="shared" ca="1" si="13"/>
        <v/>
      </c>
      <c r="BS66" s="78" t="str">
        <f t="shared" ca="1" si="14"/>
        <v/>
      </c>
      <c r="BT66" s="78" t="str">
        <f t="shared" ca="1" si="19"/>
        <v/>
      </c>
      <c r="BU66" s="78" t="str">
        <f t="shared" ca="1" si="15"/>
        <v/>
      </c>
      <c r="BV66" s="78" t="str">
        <f t="shared" ca="1" si="16"/>
        <v/>
      </c>
    </row>
    <row r="67" spans="1:74" ht="15.75" customHeight="1" x14ac:dyDescent="0.25">
      <c r="A67" s="71" t="str">
        <f ca="1">IFERROR(__xludf.DUMMYFUNCTION("IFERROR(INDEX(FILTER(T4.2026!$A$2:$A$1000, T4.2026!$A$2:$A$1000&lt;&gt;""""), ROWS($A$9:A67)), """")"),"")</f>
        <v/>
      </c>
      <c r="B67" s="72" t="str">
        <f t="array" aca="1" ref="B67" ca="1">IF($A67="","",IFERROR(_xlfn.XLOOKUP($A67,'T4.2026'!$A$2:$A$1000,'T4.2026'!$B$2:$B$1000),""))</f>
        <v/>
      </c>
      <c r="C67" s="71" t="str">
        <f t="array" aca="1" ref="C67" ca="1">IF($A67="","",IFERROR(_xlfn.XLOOKUP($A67,'T4.2026'!$A$2:$A$1000,'T4.2026'!$C$2:$C$1000),""))</f>
        <v/>
      </c>
      <c r="D67" s="73" t="str">
        <f t="array" aca="1" ref="D67" ca="1">IF($A67="","",ROUND(IFERROR(_xlfn.XLOOKUP($A67,'T4.2026'!$A$2:$A$1000,'T4.2026'!$D$2:$D$1000),0),0))</f>
        <v/>
      </c>
      <c r="E67" s="73" t="str">
        <f t="array" aca="1" ref="E67" ca="1">IF($A67="","",IFERROR(_xlfn.XLOOKUP($A67,'T4.2026'!$A$2:$A$1000,'T4.2026'!$E$2:$E$1000),0))</f>
        <v/>
      </c>
      <c r="F67" s="75" t="str">
        <f t="shared" ca="1" si="6"/>
        <v/>
      </c>
      <c r="G67" s="75" t="str">
        <f t="shared" ref="G67:AI67" ca="1" si="86">IF($A67="","",IF(G$8=0,"",IF(SUM($AL67:$BO67)=0,0,ROUND($BU67*SUM($AL67:AM67)/SUM($AL67:$BO67),0)-ROUND($BU67*SUM($AL67:AL67)/SUM($AL67:$BO67),0))))</f>
        <v/>
      </c>
      <c r="H67" s="75" t="str">
        <f t="shared" ca="1" si="86"/>
        <v/>
      </c>
      <c r="I67" s="75" t="str">
        <f t="shared" ca="1" si="86"/>
        <v/>
      </c>
      <c r="J67" s="75" t="str">
        <f t="shared" ca="1" si="86"/>
        <v/>
      </c>
      <c r="K67" s="75" t="str">
        <f t="shared" ca="1" si="86"/>
        <v/>
      </c>
      <c r="L67" s="75" t="str">
        <f t="shared" ca="1" si="86"/>
        <v/>
      </c>
      <c r="M67" s="75" t="str">
        <f t="shared" ca="1" si="86"/>
        <v/>
      </c>
      <c r="N67" s="75" t="str">
        <f t="shared" ca="1" si="86"/>
        <v/>
      </c>
      <c r="O67" s="75" t="str">
        <f t="shared" ca="1" si="86"/>
        <v/>
      </c>
      <c r="P67" s="75" t="str">
        <f t="shared" ca="1" si="86"/>
        <v/>
      </c>
      <c r="Q67" s="75" t="str">
        <f t="shared" ca="1" si="86"/>
        <v/>
      </c>
      <c r="R67" s="75" t="str">
        <f t="shared" ca="1" si="86"/>
        <v/>
      </c>
      <c r="S67" s="75" t="str">
        <f t="shared" ca="1" si="86"/>
        <v/>
      </c>
      <c r="T67" s="75" t="str">
        <f t="shared" ca="1" si="86"/>
        <v/>
      </c>
      <c r="U67" s="75" t="str">
        <f t="shared" ca="1" si="86"/>
        <v/>
      </c>
      <c r="V67" s="75" t="str">
        <f t="shared" ca="1" si="86"/>
        <v/>
      </c>
      <c r="W67" s="75" t="str">
        <f t="shared" ca="1" si="86"/>
        <v/>
      </c>
      <c r="X67" s="75" t="str">
        <f t="shared" ca="1" si="86"/>
        <v/>
      </c>
      <c r="Y67" s="75" t="str">
        <f t="shared" ca="1" si="86"/>
        <v/>
      </c>
      <c r="Z67" s="75" t="str">
        <f t="shared" ca="1" si="86"/>
        <v/>
      </c>
      <c r="AA67" s="75" t="str">
        <f t="shared" ca="1" si="86"/>
        <v/>
      </c>
      <c r="AB67" s="75" t="str">
        <f t="shared" ca="1" si="86"/>
        <v/>
      </c>
      <c r="AC67" s="75" t="str">
        <f t="shared" ca="1" si="86"/>
        <v/>
      </c>
      <c r="AD67" s="75" t="str">
        <f t="shared" ca="1" si="86"/>
        <v/>
      </c>
      <c r="AE67" s="75" t="str">
        <f t="shared" ca="1" si="86"/>
        <v/>
      </c>
      <c r="AF67" s="75" t="str">
        <f t="shared" ca="1" si="86"/>
        <v/>
      </c>
      <c r="AG67" s="75" t="str">
        <f t="shared" ca="1" si="86"/>
        <v/>
      </c>
      <c r="AH67" s="75" t="str">
        <f t="shared" ca="1" si="86"/>
        <v/>
      </c>
      <c r="AI67" s="75" t="str">
        <f t="shared" ca="1" si="86"/>
        <v/>
      </c>
      <c r="AJ67" s="76" t="str">
        <f t="shared" ca="1" si="8"/>
        <v/>
      </c>
      <c r="AK67" s="76" t="str">
        <f t="shared" ca="1" si="9"/>
        <v/>
      </c>
      <c r="AL67" s="33" t="str">
        <f t="shared" ca="1" si="85"/>
        <v/>
      </c>
      <c r="AM67" s="33" t="str">
        <f t="shared" ca="1" si="85"/>
        <v/>
      </c>
      <c r="AN67" s="33" t="str">
        <f t="shared" ca="1" si="85"/>
        <v/>
      </c>
      <c r="AO67" s="33" t="str">
        <f t="shared" ca="1" si="85"/>
        <v/>
      </c>
      <c r="AP67" s="33" t="str">
        <f t="shared" ca="1" si="85"/>
        <v/>
      </c>
      <c r="AQ67" s="33" t="str">
        <f t="shared" ca="1" si="85"/>
        <v/>
      </c>
      <c r="AR67" s="33" t="str">
        <f t="shared" ca="1" si="85"/>
        <v/>
      </c>
      <c r="AS67" s="33" t="str">
        <f t="shared" ca="1" si="85"/>
        <v/>
      </c>
      <c r="AT67" s="33" t="str">
        <f t="shared" ca="1" si="85"/>
        <v/>
      </c>
      <c r="AU67" s="33" t="str">
        <f t="shared" ca="1" si="85"/>
        <v/>
      </c>
      <c r="AV67" s="33" t="str">
        <f t="shared" ca="1" si="85"/>
        <v/>
      </c>
      <c r="AW67" s="33" t="str">
        <f t="shared" ca="1" si="85"/>
        <v/>
      </c>
      <c r="AX67" s="33" t="str">
        <f t="shared" ca="1" si="85"/>
        <v/>
      </c>
      <c r="AY67" s="33" t="str">
        <f t="shared" ca="1" si="85"/>
        <v/>
      </c>
      <c r="AZ67" s="33" t="str">
        <f t="shared" ca="1" si="85"/>
        <v/>
      </c>
      <c r="BA67" s="33" t="str">
        <f t="shared" ca="1" si="85"/>
        <v/>
      </c>
      <c r="BB67" s="33" t="str">
        <f t="shared" ca="1" si="83"/>
        <v/>
      </c>
      <c r="BC67" s="33" t="str">
        <f t="shared" ca="1" si="83"/>
        <v/>
      </c>
      <c r="BD67" s="33" t="str">
        <f t="shared" ca="1" si="83"/>
        <v/>
      </c>
      <c r="BE67" s="33" t="str">
        <f t="shared" ca="1" si="83"/>
        <v/>
      </c>
      <c r="BF67" s="33" t="str">
        <f t="shared" ca="1" si="83"/>
        <v/>
      </c>
      <c r="BG67" s="33" t="str">
        <f t="shared" ca="1" si="83"/>
        <v/>
      </c>
      <c r="BH67" s="33" t="str">
        <f t="shared" ca="1" si="83"/>
        <v/>
      </c>
      <c r="BI67" s="33" t="str">
        <f t="shared" ca="1" si="83"/>
        <v/>
      </c>
      <c r="BJ67" s="33" t="str">
        <f t="shared" ca="1" si="83"/>
        <v/>
      </c>
      <c r="BK67" s="33" t="str">
        <f t="shared" ca="1" si="83"/>
        <v/>
      </c>
      <c r="BL67" s="33" t="str">
        <f t="shared" ca="1" si="83"/>
        <v/>
      </c>
      <c r="BM67" s="33" t="str">
        <f t="shared" ca="1" si="83"/>
        <v/>
      </c>
      <c r="BN67" s="33" t="str">
        <f t="shared" ca="1" si="83"/>
        <v/>
      </c>
      <c r="BO67" s="33" t="str">
        <f t="shared" ca="1" si="83"/>
        <v/>
      </c>
      <c r="BP67" s="33" t="str">
        <f t="shared" ca="1" si="11"/>
        <v/>
      </c>
      <c r="BQ67" s="78" t="str">
        <f t="shared" ca="1" si="12"/>
        <v/>
      </c>
      <c r="BR67" s="78" t="str">
        <f t="shared" ca="1" si="13"/>
        <v/>
      </c>
      <c r="BS67" s="78" t="str">
        <f t="shared" ca="1" si="14"/>
        <v/>
      </c>
      <c r="BT67" s="78" t="str">
        <f t="shared" ca="1" si="19"/>
        <v/>
      </c>
      <c r="BU67" s="78" t="str">
        <f t="shared" ca="1" si="15"/>
        <v/>
      </c>
      <c r="BV67" s="78" t="str">
        <f t="shared" ca="1" si="16"/>
        <v/>
      </c>
    </row>
    <row r="68" spans="1:74" ht="15.75" customHeight="1" x14ac:dyDescent="0.25">
      <c r="A68" s="71" t="str">
        <f ca="1">IFERROR(__xludf.DUMMYFUNCTION("IFERROR(INDEX(FILTER(T4.2026!$A$2:$A$1000, T4.2026!$A$2:$A$1000&lt;&gt;""""), ROWS($A$9:A68)), """")"),"")</f>
        <v/>
      </c>
      <c r="B68" s="72" t="str">
        <f t="array" aca="1" ref="B68" ca="1">IF($A68="","",IFERROR(_xlfn.XLOOKUP($A68,'T4.2026'!$A$2:$A$1000,'T4.2026'!$B$2:$B$1000),""))</f>
        <v/>
      </c>
      <c r="C68" s="71" t="str">
        <f t="array" aca="1" ref="C68" ca="1">IF($A68="","",IFERROR(_xlfn.XLOOKUP($A68,'T4.2026'!$A$2:$A$1000,'T4.2026'!$C$2:$C$1000),""))</f>
        <v/>
      </c>
      <c r="D68" s="73" t="str">
        <f t="array" aca="1" ref="D68" ca="1">IF($A68="","",ROUND(IFERROR(_xlfn.XLOOKUP($A68,'T4.2026'!$A$2:$A$1000,'T4.2026'!$D$2:$D$1000),0),0))</f>
        <v/>
      </c>
      <c r="E68" s="73" t="str">
        <f t="array" aca="1" ref="E68" ca="1">IF($A68="","",IFERROR(_xlfn.XLOOKUP($A68,'T4.2026'!$A$2:$A$1000,'T4.2026'!$E$2:$E$1000),0))</f>
        <v/>
      </c>
      <c r="F68" s="75" t="str">
        <f t="shared" ca="1" si="6"/>
        <v/>
      </c>
      <c r="G68" s="75" t="str">
        <f t="shared" ref="G68:AI68" ca="1" si="87">IF($A68="","",IF(G$8=0,"",IF(SUM($AL68:$BO68)=0,0,ROUND($BU68*SUM($AL68:AM68)/SUM($AL68:$BO68),0)-ROUND($BU68*SUM($AL68:AL68)/SUM($AL68:$BO68),0))))</f>
        <v/>
      </c>
      <c r="H68" s="75" t="str">
        <f t="shared" ca="1" si="87"/>
        <v/>
      </c>
      <c r="I68" s="75" t="str">
        <f t="shared" ca="1" si="87"/>
        <v/>
      </c>
      <c r="J68" s="75" t="str">
        <f t="shared" ca="1" si="87"/>
        <v/>
      </c>
      <c r="K68" s="75" t="str">
        <f t="shared" ca="1" si="87"/>
        <v/>
      </c>
      <c r="L68" s="75" t="str">
        <f t="shared" ca="1" si="87"/>
        <v/>
      </c>
      <c r="M68" s="75" t="str">
        <f t="shared" ca="1" si="87"/>
        <v/>
      </c>
      <c r="N68" s="75" t="str">
        <f t="shared" ca="1" si="87"/>
        <v/>
      </c>
      <c r="O68" s="75" t="str">
        <f t="shared" ca="1" si="87"/>
        <v/>
      </c>
      <c r="P68" s="75" t="str">
        <f t="shared" ca="1" si="87"/>
        <v/>
      </c>
      <c r="Q68" s="75" t="str">
        <f t="shared" ca="1" si="87"/>
        <v/>
      </c>
      <c r="R68" s="75" t="str">
        <f t="shared" ca="1" si="87"/>
        <v/>
      </c>
      <c r="S68" s="75" t="str">
        <f t="shared" ca="1" si="87"/>
        <v/>
      </c>
      <c r="T68" s="75" t="str">
        <f t="shared" ca="1" si="87"/>
        <v/>
      </c>
      <c r="U68" s="75" t="str">
        <f t="shared" ca="1" si="87"/>
        <v/>
      </c>
      <c r="V68" s="75" t="str">
        <f t="shared" ca="1" si="87"/>
        <v/>
      </c>
      <c r="W68" s="75" t="str">
        <f t="shared" ca="1" si="87"/>
        <v/>
      </c>
      <c r="X68" s="75" t="str">
        <f t="shared" ca="1" si="87"/>
        <v/>
      </c>
      <c r="Y68" s="75" t="str">
        <f t="shared" ca="1" si="87"/>
        <v/>
      </c>
      <c r="Z68" s="75" t="str">
        <f t="shared" ca="1" si="87"/>
        <v/>
      </c>
      <c r="AA68" s="75" t="str">
        <f t="shared" ca="1" si="87"/>
        <v/>
      </c>
      <c r="AB68" s="75" t="str">
        <f t="shared" ca="1" si="87"/>
        <v/>
      </c>
      <c r="AC68" s="75" t="str">
        <f t="shared" ca="1" si="87"/>
        <v/>
      </c>
      <c r="AD68" s="75" t="str">
        <f t="shared" ca="1" si="87"/>
        <v/>
      </c>
      <c r="AE68" s="75" t="str">
        <f t="shared" ca="1" si="87"/>
        <v/>
      </c>
      <c r="AF68" s="75" t="str">
        <f t="shared" ca="1" si="87"/>
        <v/>
      </c>
      <c r="AG68" s="75" t="str">
        <f t="shared" ca="1" si="87"/>
        <v/>
      </c>
      <c r="AH68" s="75" t="str">
        <f t="shared" ca="1" si="87"/>
        <v/>
      </c>
      <c r="AI68" s="75" t="str">
        <f t="shared" ca="1" si="87"/>
        <v/>
      </c>
      <c r="AJ68" s="76" t="str">
        <f t="shared" ca="1" si="8"/>
        <v/>
      </c>
      <c r="AK68" s="76" t="str">
        <f t="shared" ca="1" si="9"/>
        <v/>
      </c>
      <c r="AL68" s="33" t="str">
        <f t="shared" ca="1" si="85"/>
        <v/>
      </c>
      <c r="AM68" s="33" t="str">
        <f t="shared" ca="1" si="85"/>
        <v/>
      </c>
      <c r="AN68" s="33" t="str">
        <f t="shared" ca="1" si="85"/>
        <v/>
      </c>
      <c r="AO68" s="33" t="str">
        <f t="shared" ca="1" si="85"/>
        <v/>
      </c>
      <c r="AP68" s="33" t="str">
        <f t="shared" ca="1" si="85"/>
        <v/>
      </c>
      <c r="AQ68" s="33" t="str">
        <f t="shared" ca="1" si="85"/>
        <v/>
      </c>
      <c r="AR68" s="33" t="str">
        <f t="shared" ca="1" si="85"/>
        <v/>
      </c>
      <c r="AS68" s="33" t="str">
        <f t="shared" ca="1" si="85"/>
        <v/>
      </c>
      <c r="AT68" s="33" t="str">
        <f t="shared" ca="1" si="85"/>
        <v/>
      </c>
      <c r="AU68" s="33" t="str">
        <f t="shared" ca="1" si="85"/>
        <v/>
      </c>
      <c r="AV68" s="33" t="str">
        <f t="shared" ca="1" si="85"/>
        <v/>
      </c>
      <c r="AW68" s="33" t="str">
        <f t="shared" ca="1" si="85"/>
        <v/>
      </c>
      <c r="AX68" s="33" t="str">
        <f t="shared" ca="1" si="85"/>
        <v/>
      </c>
      <c r="AY68" s="33" t="str">
        <f t="shared" ca="1" si="85"/>
        <v/>
      </c>
      <c r="AZ68" s="33" t="str">
        <f t="shared" ca="1" si="85"/>
        <v/>
      </c>
      <c r="BA68" s="33" t="str">
        <f t="shared" ca="1" si="85"/>
        <v/>
      </c>
      <c r="BB68" s="33" t="str">
        <f t="shared" ca="1" si="83"/>
        <v/>
      </c>
      <c r="BC68" s="33" t="str">
        <f t="shared" ca="1" si="83"/>
        <v/>
      </c>
      <c r="BD68" s="33" t="str">
        <f t="shared" ca="1" si="83"/>
        <v/>
      </c>
      <c r="BE68" s="33" t="str">
        <f t="shared" ca="1" si="83"/>
        <v/>
      </c>
      <c r="BF68" s="33" t="str">
        <f t="shared" ca="1" si="83"/>
        <v/>
      </c>
      <c r="BG68" s="33" t="str">
        <f t="shared" ca="1" si="83"/>
        <v/>
      </c>
      <c r="BH68" s="33" t="str">
        <f t="shared" ca="1" si="83"/>
        <v/>
      </c>
      <c r="BI68" s="33" t="str">
        <f t="shared" ca="1" si="83"/>
        <v/>
      </c>
      <c r="BJ68" s="33" t="str">
        <f t="shared" ca="1" si="83"/>
        <v/>
      </c>
      <c r="BK68" s="33" t="str">
        <f t="shared" ca="1" si="83"/>
        <v/>
      </c>
      <c r="BL68" s="33" t="str">
        <f t="shared" ca="1" si="83"/>
        <v/>
      </c>
      <c r="BM68" s="33" t="str">
        <f t="shared" ca="1" si="83"/>
        <v/>
      </c>
      <c r="BN68" s="33" t="str">
        <f t="shared" ca="1" si="83"/>
        <v/>
      </c>
      <c r="BO68" s="33" t="str">
        <f t="shared" ca="1" si="83"/>
        <v/>
      </c>
      <c r="BP68" s="33" t="str">
        <f t="shared" ca="1" si="11"/>
        <v/>
      </c>
      <c r="BQ68" s="78" t="str">
        <f t="shared" ca="1" si="12"/>
        <v/>
      </c>
      <c r="BR68" s="78" t="str">
        <f t="shared" ca="1" si="13"/>
        <v/>
      </c>
      <c r="BS68" s="78" t="str">
        <f t="shared" ca="1" si="14"/>
        <v/>
      </c>
      <c r="BT68" s="78" t="str">
        <f t="shared" ca="1" si="19"/>
        <v/>
      </c>
      <c r="BU68" s="78" t="str">
        <f t="shared" ca="1" si="15"/>
        <v/>
      </c>
      <c r="BV68" s="78" t="str">
        <f t="shared" ca="1" si="16"/>
        <v/>
      </c>
    </row>
    <row r="69" spans="1:74" ht="15.75" customHeight="1" x14ac:dyDescent="0.25">
      <c r="A69" s="71" t="str">
        <f ca="1">IFERROR(__xludf.DUMMYFUNCTION("IFERROR(INDEX(FILTER(T4.2026!$A$2:$A$1000, T4.2026!$A$2:$A$1000&lt;&gt;""""), ROWS($A$9:A69)), """")"),"")</f>
        <v/>
      </c>
      <c r="B69" s="72" t="str">
        <f t="array" aca="1" ref="B69" ca="1">IF($A69="","",IFERROR(_xlfn.XLOOKUP($A69,'T4.2026'!$A$2:$A$1000,'T4.2026'!$B$2:$B$1000),""))</f>
        <v/>
      </c>
      <c r="C69" s="71" t="str">
        <f t="array" aca="1" ref="C69" ca="1">IF($A69="","",IFERROR(_xlfn.XLOOKUP($A69,'T4.2026'!$A$2:$A$1000,'T4.2026'!$C$2:$C$1000),""))</f>
        <v/>
      </c>
      <c r="D69" s="73" t="str">
        <f t="array" aca="1" ref="D69" ca="1">IF($A69="","",ROUND(IFERROR(_xlfn.XLOOKUP($A69,'T4.2026'!$A$2:$A$1000,'T4.2026'!$D$2:$D$1000),0),0))</f>
        <v/>
      </c>
      <c r="E69" s="73" t="str">
        <f t="array" aca="1" ref="E69" ca="1">IF($A69="","",IFERROR(_xlfn.XLOOKUP($A69,'T4.2026'!$A$2:$A$1000,'T4.2026'!$E$2:$E$1000),0))</f>
        <v/>
      </c>
      <c r="F69" s="75" t="str">
        <f t="shared" ca="1" si="6"/>
        <v/>
      </c>
      <c r="G69" s="75" t="str">
        <f t="shared" ref="G69:AI69" ca="1" si="88">IF($A69="","",IF(G$8=0,"",IF(SUM($AL69:$BO69)=0,0,ROUND($BU69*SUM($AL69:AM69)/SUM($AL69:$BO69),0)-ROUND($BU69*SUM($AL69:AL69)/SUM($AL69:$BO69),0))))</f>
        <v/>
      </c>
      <c r="H69" s="75" t="str">
        <f t="shared" ca="1" si="88"/>
        <v/>
      </c>
      <c r="I69" s="75" t="str">
        <f t="shared" ca="1" si="88"/>
        <v/>
      </c>
      <c r="J69" s="75" t="str">
        <f t="shared" ca="1" si="88"/>
        <v/>
      </c>
      <c r="K69" s="75" t="str">
        <f t="shared" ca="1" si="88"/>
        <v/>
      </c>
      <c r="L69" s="75" t="str">
        <f t="shared" ca="1" si="88"/>
        <v/>
      </c>
      <c r="M69" s="75" t="str">
        <f t="shared" ca="1" si="88"/>
        <v/>
      </c>
      <c r="N69" s="75" t="str">
        <f t="shared" ca="1" si="88"/>
        <v/>
      </c>
      <c r="O69" s="75" t="str">
        <f t="shared" ca="1" si="88"/>
        <v/>
      </c>
      <c r="P69" s="75" t="str">
        <f t="shared" ca="1" si="88"/>
        <v/>
      </c>
      <c r="Q69" s="75" t="str">
        <f t="shared" ca="1" si="88"/>
        <v/>
      </c>
      <c r="R69" s="75" t="str">
        <f t="shared" ca="1" si="88"/>
        <v/>
      </c>
      <c r="S69" s="75" t="str">
        <f t="shared" ca="1" si="88"/>
        <v/>
      </c>
      <c r="T69" s="75" t="str">
        <f t="shared" ca="1" si="88"/>
        <v/>
      </c>
      <c r="U69" s="75" t="str">
        <f t="shared" ca="1" si="88"/>
        <v/>
      </c>
      <c r="V69" s="75" t="str">
        <f t="shared" ca="1" si="88"/>
        <v/>
      </c>
      <c r="W69" s="75" t="str">
        <f t="shared" ca="1" si="88"/>
        <v/>
      </c>
      <c r="X69" s="75" t="str">
        <f t="shared" ca="1" si="88"/>
        <v/>
      </c>
      <c r="Y69" s="75" t="str">
        <f t="shared" ca="1" si="88"/>
        <v/>
      </c>
      <c r="Z69" s="75" t="str">
        <f t="shared" ca="1" si="88"/>
        <v/>
      </c>
      <c r="AA69" s="75" t="str">
        <f t="shared" ca="1" si="88"/>
        <v/>
      </c>
      <c r="AB69" s="75" t="str">
        <f t="shared" ca="1" si="88"/>
        <v/>
      </c>
      <c r="AC69" s="75" t="str">
        <f t="shared" ca="1" si="88"/>
        <v/>
      </c>
      <c r="AD69" s="75" t="str">
        <f t="shared" ca="1" si="88"/>
        <v/>
      </c>
      <c r="AE69" s="75" t="str">
        <f t="shared" ca="1" si="88"/>
        <v/>
      </c>
      <c r="AF69" s="75" t="str">
        <f t="shared" ca="1" si="88"/>
        <v/>
      </c>
      <c r="AG69" s="75" t="str">
        <f t="shared" ca="1" si="88"/>
        <v/>
      </c>
      <c r="AH69" s="75" t="str">
        <f t="shared" ca="1" si="88"/>
        <v/>
      </c>
      <c r="AI69" s="75" t="str">
        <f t="shared" ca="1" si="88"/>
        <v/>
      </c>
      <c r="AJ69" s="76" t="str">
        <f t="shared" ca="1" si="8"/>
        <v/>
      </c>
      <c r="AK69" s="76" t="str">
        <f t="shared" ca="1" si="9"/>
        <v/>
      </c>
      <c r="AL69" s="33" t="str">
        <f t="shared" ca="1" si="85"/>
        <v/>
      </c>
      <c r="AM69" s="33" t="str">
        <f t="shared" ca="1" si="85"/>
        <v/>
      </c>
      <c r="AN69" s="33" t="str">
        <f t="shared" ca="1" si="85"/>
        <v/>
      </c>
      <c r="AO69" s="33" t="str">
        <f t="shared" ca="1" si="85"/>
        <v/>
      </c>
      <c r="AP69" s="33" t="str">
        <f t="shared" ca="1" si="85"/>
        <v/>
      </c>
      <c r="AQ69" s="33" t="str">
        <f t="shared" ca="1" si="85"/>
        <v/>
      </c>
      <c r="AR69" s="33" t="str">
        <f t="shared" ca="1" si="85"/>
        <v/>
      </c>
      <c r="AS69" s="33" t="str">
        <f t="shared" ca="1" si="85"/>
        <v/>
      </c>
      <c r="AT69" s="33" t="str">
        <f t="shared" ca="1" si="85"/>
        <v/>
      </c>
      <c r="AU69" s="33" t="str">
        <f t="shared" ca="1" si="85"/>
        <v/>
      </c>
      <c r="AV69" s="33" t="str">
        <f t="shared" ca="1" si="85"/>
        <v/>
      </c>
      <c r="AW69" s="33" t="str">
        <f t="shared" ca="1" si="85"/>
        <v/>
      </c>
      <c r="AX69" s="33" t="str">
        <f t="shared" ca="1" si="85"/>
        <v/>
      </c>
      <c r="AY69" s="33" t="str">
        <f t="shared" ca="1" si="85"/>
        <v/>
      </c>
      <c r="AZ69" s="33" t="str">
        <f t="shared" ca="1" si="85"/>
        <v/>
      </c>
      <c r="BA69" s="33" t="str">
        <f t="shared" ca="1" si="85"/>
        <v/>
      </c>
      <c r="BB69" s="33" t="str">
        <f t="shared" ca="1" si="83"/>
        <v/>
      </c>
      <c r="BC69" s="33" t="str">
        <f t="shared" ca="1" si="83"/>
        <v/>
      </c>
      <c r="BD69" s="33" t="str">
        <f t="shared" ca="1" si="83"/>
        <v/>
      </c>
      <c r="BE69" s="33" t="str">
        <f t="shared" ca="1" si="83"/>
        <v/>
      </c>
      <c r="BF69" s="33" t="str">
        <f t="shared" ca="1" si="83"/>
        <v/>
      </c>
      <c r="BG69" s="33" t="str">
        <f t="shared" ca="1" si="83"/>
        <v/>
      </c>
      <c r="BH69" s="33" t="str">
        <f t="shared" ca="1" si="83"/>
        <v/>
      </c>
      <c r="BI69" s="33" t="str">
        <f t="shared" ca="1" si="83"/>
        <v/>
      </c>
      <c r="BJ69" s="33" t="str">
        <f t="shared" ca="1" si="83"/>
        <v/>
      </c>
      <c r="BK69" s="33" t="str">
        <f t="shared" ca="1" si="83"/>
        <v/>
      </c>
      <c r="BL69" s="33" t="str">
        <f t="shared" ca="1" si="83"/>
        <v/>
      </c>
      <c r="BM69" s="33" t="str">
        <f t="shared" ca="1" si="83"/>
        <v/>
      </c>
      <c r="BN69" s="33" t="str">
        <f t="shared" ca="1" si="83"/>
        <v/>
      </c>
      <c r="BO69" s="33" t="str">
        <f t="shared" ca="1" si="83"/>
        <v/>
      </c>
      <c r="BP69" s="33" t="str">
        <f t="shared" ca="1" si="11"/>
        <v/>
      </c>
      <c r="BQ69" s="78" t="str">
        <f t="shared" ca="1" si="12"/>
        <v/>
      </c>
      <c r="BR69" s="78" t="str">
        <f t="shared" ca="1" si="13"/>
        <v/>
      </c>
      <c r="BS69" s="78" t="str">
        <f t="shared" ca="1" si="14"/>
        <v/>
      </c>
      <c r="BT69" s="78" t="str">
        <f t="shared" ca="1" si="19"/>
        <v/>
      </c>
      <c r="BU69" s="78" t="str">
        <f t="shared" ca="1" si="15"/>
        <v/>
      </c>
      <c r="BV69" s="78" t="str">
        <f t="shared" ca="1" si="16"/>
        <v/>
      </c>
    </row>
    <row r="70" spans="1:74" ht="15.75" customHeight="1" x14ac:dyDescent="0.25">
      <c r="A70" s="71" t="str">
        <f ca="1">IFERROR(__xludf.DUMMYFUNCTION("IFERROR(INDEX(FILTER(T4.2026!$A$2:$A$1000, T4.2026!$A$2:$A$1000&lt;&gt;""""), ROWS($A$9:A70)), """")"),"")</f>
        <v/>
      </c>
      <c r="B70" s="72" t="str">
        <f t="array" aca="1" ref="B70" ca="1">IF($A70="","",IFERROR(_xlfn.XLOOKUP($A70,'T4.2026'!$A$2:$A$1000,'T4.2026'!$B$2:$B$1000),""))</f>
        <v/>
      </c>
      <c r="C70" s="71" t="str">
        <f t="array" aca="1" ref="C70" ca="1">IF($A70="","",IFERROR(_xlfn.XLOOKUP($A70,'T4.2026'!$A$2:$A$1000,'T4.2026'!$C$2:$C$1000),""))</f>
        <v/>
      </c>
      <c r="D70" s="73" t="str">
        <f t="array" aca="1" ref="D70" ca="1">IF($A70="","",ROUND(IFERROR(_xlfn.XLOOKUP($A70,'T4.2026'!$A$2:$A$1000,'T4.2026'!$D$2:$D$1000),0),0))</f>
        <v/>
      </c>
      <c r="E70" s="73" t="str">
        <f t="array" aca="1" ref="E70" ca="1">IF($A70="","",IFERROR(_xlfn.XLOOKUP($A70,'T4.2026'!$A$2:$A$1000,'T4.2026'!$E$2:$E$1000),0))</f>
        <v/>
      </c>
      <c r="F70" s="75" t="str">
        <f t="shared" ca="1" si="6"/>
        <v/>
      </c>
      <c r="G70" s="75" t="str">
        <f t="shared" ref="G70:AI70" ca="1" si="89">IF($A70="","",IF(G$8=0,"",IF(SUM($AL70:$BO70)=0,0,ROUND($BU70*SUM($AL70:AM70)/SUM($AL70:$BO70),0)-ROUND($BU70*SUM($AL70:AL70)/SUM($AL70:$BO70),0))))</f>
        <v/>
      </c>
      <c r="H70" s="75" t="str">
        <f t="shared" ca="1" si="89"/>
        <v/>
      </c>
      <c r="I70" s="75" t="str">
        <f t="shared" ca="1" si="89"/>
        <v/>
      </c>
      <c r="J70" s="75" t="str">
        <f t="shared" ca="1" si="89"/>
        <v/>
      </c>
      <c r="K70" s="75" t="str">
        <f t="shared" ca="1" si="89"/>
        <v/>
      </c>
      <c r="L70" s="75" t="str">
        <f t="shared" ca="1" si="89"/>
        <v/>
      </c>
      <c r="M70" s="75" t="str">
        <f t="shared" ca="1" si="89"/>
        <v/>
      </c>
      <c r="N70" s="75" t="str">
        <f t="shared" ca="1" si="89"/>
        <v/>
      </c>
      <c r="O70" s="75" t="str">
        <f t="shared" ca="1" si="89"/>
        <v/>
      </c>
      <c r="P70" s="75" t="str">
        <f t="shared" ca="1" si="89"/>
        <v/>
      </c>
      <c r="Q70" s="75" t="str">
        <f t="shared" ca="1" si="89"/>
        <v/>
      </c>
      <c r="R70" s="75" t="str">
        <f t="shared" ca="1" si="89"/>
        <v/>
      </c>
      <c r="S70" s="75" t="str">
        <f t="shared" ca="1" si="89"/>
        <v/>
      </c>
      <c r="T70" s="75" t="str">
        <f t="shared" ca="1" si="89"/>
        <v/>
      </c>
      <c r="U70" s="75" t="str">
        <f t="shared" ca="1" si="89"/>
        <v/>
      </c>
      <c r="V70" s="75" t="str">
        <f t="shared" ca="1" si="89"/>
        <v/>
      </c>
      <c r="W70" s="75" t="str">
        <f t="shared" ca="1" si="89"/>
        <v/>
      </c>
      <c r="X70" s="75" t="str">
        <f t="shared" ca="1" si="89"/>
        <v/>
      </c>
      <c r="Y70" s="75" t="str">
        <f t="shared" ca="1" si="89"/>
        <v/>
      </c>
      <c r="Z70" s="75" t="str">
        <f t="shared" ca="1" si="89"/>
        <v/>
      </c>
      <c r="AA70" s="75" t="str">
        <f t="shared" ca="1" si="89"/>
        <v/>
      </c>
      <c r="AB70" s="75" t="str">
        <f t="shared" ca="1" si="89"/>
        <v/>
      </c>
      <c r="AC70" s="75" t="str">
        <f t="shared" ca="1" si="89"/>
        <v/>
      </c>
      <c r="AD70" s="75" t="str">
        <f t="shared" ca="1" si="89"/>
        <v/>
      </c>
      <c r="AE70" s="75" t="str">
        <f t="shared" ca="1" si="89"/>
        <v/>
      </c>
      <c r="AF70" s="75" t="str">
        <f t="shared" ca="1" si="89"/>
        <v/>
      </c>
      <c r="AG70" s="75" t="str">
        <f t="shared" ca="1" si="89"/>
        <v/>
      </c>
      <c r="AH70" s="75" t="str">
        <f t="shared" ca="1" si="89"/>
        <v/>
      </c>
      <c r="AI70" s="75" t="str">
        <f t="shared" ca="1" si="89"/>
        <v/>
      </c>
      <c r="AJ70" s="76" t="str">
        <f t="shared" ca="1" si="8"/>
        <v/>
      </c>
      <c r="AK70" s="76" t="str">
        <f t="shared" ca="1" si="9"/>
        <v/>
      </c>
      <c r="AL70" s="33" t="str">
        <f t="shared" ca="1" si="85"/>
        <v/>
      </c>
      <c r="AM70" s="33" t="str">
        <f t="shared" ca="1" si="85"/>
        <v/>
      </c>
      <c r="AN70" s="33" t="str">
        <f t="shared" ca="1" si="85"/>
        <v/>
      </c>
      <c r="AO70" s="33" t="str">
        <f t="shared" ca="1" si="85"/>
        <v/>
      </c>
      <c r="AP70" s="33" t="str">
        <f t="shared" ca="1" si="85"/>
        <v/>
      </c>
      <c r="AQ70" s="33" t="str">
        <f t="shared" ca="1" si="85"/>
        <v/>
      </c>
      <c r="AR70" s="33" t="str">
        <f t="shared" ca="1" si="85"/>
        <v/>
      </c>
      <c r="AS70" s="33" t="str">
        <f t="shared" ca="1" si="85"/>
        <v/>
      </c>
      <c r="AT70" s="33" t="str">
        <f t="shared" ca="1" si="85"/>
        <v/>
      </c>
      <c r="AU70" s="33" t="str">
        <f t="shared" ca="1" si="85"/>
        <v/>
      </c>
      <c r="AV70" s="33" t="str">
        <f t="shared" ca="1" si="85"/>
        <v/>
      </c>
      <c r="AW70" s="33" t="str">
        <f t="shared" ca="1" si="85"/>
        <v/>
      </c>
      <c r="AX70" s="33" t="str">
        <f t="shared" ca="1" si="85"/>
        <v/>
      </c>
      <c r="AY70" s="33" t="str">
        <f t="shared" ca="1" si="85"/>
        <v/>
      </c>
      <c r="AZ70" s="33" t="str">
        <f t="shared" ca="1" si="85"/>
        <v/>
      </c>
      <c r="BA70" s="33" t="str">
        <f t="shared" ca="1" si="85"/>
        <v/>
      </c>
      <c r="BB70" s="33" t="str">
        <f t="shared" ca="1" si="83"/>
        <v/>
      </c>
      <c r="BC70" s="33" t="str">
        <f t="shared" ca="1" si="83"/>
        <v/>
      </c>
      <c r="BD70" s="33" t="str">
        <f t="shared" ca="1" si="83"/>
        <v/>
      </c>
      <c r="BE70" s="33" t="str">
        <f t="shared" ca="1" si="83"/>
        <v/>
      </c>
      <c r="BF70" s="33" t="str">
        <f t="shared" ca="1" si="83"/>
        <v/>
      </c>
      <c r="BG70" s="33" t="str">
        <f t="shared" ca="1" si="83"/>
        <v/>
      </c>
      <c r="BH70" s="33" t="str">
        <f t="shared" ca="1" si="83"/>
        <v/>
      </c>
      <c r="BI70" s="33" t="str">
        <f t="shared" ca="1" si="83"/>
        <v/>
      </c>
      <c r="BJ70" s="33" t="str">
        <f t="shared" ca="1" si="83"/>
        <v/>
      </c>
      <c r="BK70" s="33" t="str">
        <f t="shared" ca="1" si="83"/>
        <v/>
      </c>
      <c r="BL70" s="33" t="str">
        <f t="shared" ca="1" si="83"/>
        <v/>
      </c>
      <c r="BM70" s="33" t="str">
        <f t="shared" ca="1" si="83"/>
        <v/>
      </c>
      <c r="BN70" s="33" t="str">
        <f t="shared" ca="1" si="83"/>
        <v/>
      </c>
      <c r="BO70" s="33" t="str">
        <f t="shared" ca="1" si="83"/>
        <v/>
      </c>
      <c r="BP70" s="33" t="str">
        <f t="shared" ca="1" si="11"/>
        <v/>
      </c>
      <c r="BQ70" s="78" t="str">
        <f t="shared" ca="1" si="12"/>
        <v/>
      </c>
      <c r="BR70" s="78" t="str">
        <f t="shared" ca="1" si="13"/>
        <v/>
      </c>
      <c r="BS70" s="78" t="str">
        <f t="shared" ca="1" si="14"/>
        <v/>
      </c>
      <c r="BT70" s="78" t="str">
        <f t="shared" ca="1" si="19"/>
        <v/>
      </c>
      <c r="BU70" s="78" t="str">
        <f t="shared" ca="1" si="15"/>
        <v/>
      </c>
      <c r="BV70" s="78" t="str">
        <f t="shared" ca="1" si="16"/>
        <v/>
      </c>
    </row>
    <row r="71" spans="1:74" ht="15.75" customHeight="1" x14ac:dyDescent="0.25">
      <c r="A71" s="71" t="str">
        <f ca="1">IFERROR(__xludf.DUMMYFUNCTION("IFERROR(INDEX(FILTER(T4.2026!$A$2:$A$1000, T4.2026!$A$2:$A$1000&lt;&gt;""""), ROWS($A$9:A71)), """")"),"")</f>
        <v/>
      </c>
      <c r="B71" s="72" t="str">
        <f t="array" aca="1" ref="B71" ca="1">IF($A71="","",IFERROR(_xlfn.XLOOKUP($A71,'T4.2026'!$A$2:$A$1000,'T4.2026'!$B$2:$B$1000),""))</f>
        <v/>
      </c>
      <c r="C71" s="71" t="str">
        <f t="array" aca="1" ref="C71" ca="1">IF($A71="","",IFERROR(_xlfn.XLOOKUP($A71,'T4.2026'!$A$2:$A$1000,'T4.2026'!$C$2:$C$1000),""))</f>
        <v/>
      </c>
      <c r="D71" s="73" t="str">
        <f t="array" aca="1" ref="D71" ca="1">IF($A71="","",ROUND(IFERROR(_xlfn.XLOOKUP($A71,'T4.2026'!$A$2:$A$1000,'T4.2026'!$D$2:$D$1000),0),0))</f>
        <v/>
      </c>
      <c r="E71" s="73" t="str">
        <f t="array" aca="1" ref="E71" ca="1">IF($A71="","",IFERROR(_xlfn.XLOOKUP($A71,'T4.2026'!$A$2:$A$1000,'T4.2026'!$E$2:$E$1000),0))</f>
        <v/>
      </c>
      <c r="F71" s="75" t="str">
        <f t="shared" ca="1" si="6"/>
        <v/>
      </c>
      <c r="G71" s="75" t="str">
        <f t="shared" ref="G71:AI71" ca="1" si="90">IF($A71="","",IF(G$8=0,"",IF(SUM($AL71:$BO71)=0,0,ROUND($BU71*SUM($AL71:AM71)/SUM($AL71:$BO71),0)-ROUND($BU71*SUM($AL71:AL71)/SUM($AL71:$BO71),0))))</f>
        <v/>
      </c>
      <c r="H71" s="75" t="str">
        <f t="shared" ca="1" si="90"/>
        <v/>
      </c>
      <c r="I71" s="75" t="str">
        <f t="shared" ca="1" si="90"/>
        <v/>
      </c>
      <c r="J71" s="75" t="str">
        <f t="shared" ca="1" si="90"/>
        <v/>
      </c>
      <c r="K71" s="75" t="str">
        <f t="shared" ca="1" si="90"/>
        <v/>
      </c>
      <c r="L71" s="75" t="str">
        <f t="shared" ca="1" si="90"/>
        <v/>
      </c>
      <c r="M71" s="75" t="str">
        <f t="shared" ca="1" si="90"/>
        <v/>
      </c>
      <c r="N71" s="75" t="str">
        <f t="shared" ca="1" si="90"/>
        <v/>
      </c>
      <c r="O71" s="75" t="str">
        <f t="shared" ca="1" si="90"/>
        <v/>
      </c>
      <c r="P71" s="75" t="str">
        <f t="shared" ca="1" si="90"/>
        <v/>
      </c>
      <c r="Q71" s="75" t="str">
        <f t="shared" ca="1" si="90"/>
        <v/>
      </c>
      <c r="R71" s="75" t="str">
        <f t="shared" ca="1" si="90"/>
        <v/>
      </c>
      <c r="S71" s="75" t="str">
        <f t="shared" ca="1" si="90"/>
        <v/>
      </c>
      <c r="T71" s="75" t="str">
        <f t="shared" ca="1" si="90"/>
        <v/>
      </c>
      <c r="U71" s="75" t="str">
        <f t="shared" ca="1" si="90"/>
        <v/>
      </c>
      <c r="V71" s="75" t="str">
        <f t="shared" ca="1" si="90"/>
        <v/>
      </c>
      <c r="W71" s="75" t="str">
        <f t="shared" ca="1" si="90"/>
        <v/>
      </c>
      <c r="X71" s="75" t="str">
        <f t="shared" ca="1" si="90"/>
        <v/>
      </c>
      <c r="Y71" s="75" t="str">
        <f t="shared" ca="1" si="90"/>
        <v/>
      </c>
      <c r="Z71" s="75" t="str">
        <f t="shared" ca="1" si="90"/>
        <v/>
      </c>
      <c r="AA71" s="75" t="str">
        <f t="shared" ca="1" si="90"/>
        <v/>
      </c>
      <c r="AB71" s="75" t="str">
        <f t="shared" ca="1" si="90"/>
        <v/>
      </c>
      <c r="AC71" s="75" t="str">
        <f t="shared" ca="1" si="90"/>
        <v/>
      </c>
      <c r="AD71" s="75" t="str">
        <f t="shared" ca="1" si="90"/>
        <v/>
      </c>
      <c r="AE71" s="75" t="str">
        <f t="shared" ca="1" si="90"/>
        <v/>
      </c>
      <c r="AF71" s="75" t="str">
        <f t="shared" ca="1" si="90"/>
        <v/>
      </c>
      <c r="AG71" s="75" t="str">
        <f t="shared" ca="1" si="90"/>
        <v/>
      </c>
      <c r="AH71" s="75" t="str">
        <f t="shared" ca="1" si="90"/>
        <v/>
      </c>
      <c r="AI71" s="75" t="str">
        <f t="shared" ca="1" si="90"/>
        <v/>
      </c>
      <c r="AJ71" s="76" t="str">
        <f t="shared" ca="1" si="8"/>
        <v/>
      </c>
      <c r="AK71" s="76" t="str">
        <f t="shared" ca="1" si="9"/>
        <v/>
      </c>
      <c r="AL71" s="33" t="str">
        <f t="shared" ca="1" si="85"/>
        <v/>
      </c>
      <c r="AM71" s="33" t="str">
        <f t="shared" ca="1" si="85"/>
        <v/>
      </c>
      <c r="AN71" s="33" t="str">
        <f t="shared" ca="1" si="85"/>
        <v/>
      </c>
      <c r="AO71" s="33" t="str">
        <f t="shared" ca="1" si="85"/>
        <v/>
      </c>
      <c r="AP71" s="33" t="str">
        <f t="shared" ca="1" si="85"/>
        <v/>
      </c>
      <c r="AQ71" s="33" t="str">
        <f t="shared" ca="1" si="85"/>
        <v/>
      </c>
      <c r="AR71" s="33" t="str">
        <f t="shared" ca="1" si="85"/>
        <v/>
      </c>
      <c r="AS71" s="33" t="str">
        <f t="shared" ca="1" si="85"/>
        <v/>
      </c>
      <c r="AT71" s="33" t="str">
        <f t="shared" ca="1" si="85"/>
        <v/>
      </c>
      <c r="AU71" s="33" t="str">
        <f t="shared" ca="1" si="85"/>
        <v/>
      </c>
      <c r="AV71" s="33" t="str">
        <f t="shared" ca="1" si="85"/>
        <v/>
      </c>
      <c r="AW71" s="33" t="str">
        <f t="shared" ca="1" si="85"/>
        <v/>
      </c>
      <c r="AX71" s="33" t="str">
        <f t="shared" ca="1" si="85"/>
        <v/>
      </c>
      <c r="AY71" s="33" t="str">
        <f t="shared" ca="1" si="85"/>
        <v/>
      </c>
      <c r="AZ71" s="33" t="str">
        <f t="shared" ca="1" si="85"/>
        <v/>
      </c>
      <c r="BA71" s="33" t="str">
        <f t="shared" ca="1" si="85"/>
        <v/>
      </c>
      <c r="BB71" s="33" t="str">
        <f t="shared" ca="1" si="83"/>
        <v/>
      </c>
      <c r="BC71" s="33" t="str">
        <f t="shared" ca="1" si="83"/>
        <v/>
      </c>
      <c r="BD71" s="33" t="str">
        <f t="shared" ca="1" si="83"/>
        <v/>
      </c>
      <c r="BE71" s="33" t="str">
        <f t="shared" ca="1" si="83"/>
        <v/>
      </c>
      <c r="BF71" s="33" t="str">
        <f t="shared" ca="1" si="83"/>
        <v/>
      </c>
      <c r="BG71" s="33" t="str">
        <f t="shared" ca="1" si="83"/>
        <v/>
      </c>
      <c r="BH71" s="33" t="str">
        <f t="shared" ca="1" si="83"/>
        <v/>
      </c>
      <c r="BI71" s="33" t="str">
        <f t="shared" ca="1" si="83"/>
        <v/>
      </c>
      <c r="BJ71" s="33" t="str">
        <f t="shared" ca="1" si="83"/>
        <v/>
      </c>
      <c r="BK71" s="33" t="str">
        <f t="shared" ca="1" si="83"/>
        <v/>
      </c>
      <c r="BL71" s="33" t="str">
        <f t="shared" ca="1" si="83"/>
        <v/>
      </c>
      <c r="BM71" s="33" t="str">
        <f t="shared" ca="1" si="83"/>
        <v/>
      </c>
      <c r="BN71" s="33" t="str">
        <f t="shared" ca="1" si="83"/>
        <v/>
      </c>
      <c r="BO71" s="33" t="str">
        <f t="shared" ca="1" si="83"/>
        <v/>
      </c>
      <c r="BP71" s="33" t="str">
        <f t="shared" ca="1" si="11"/>
        <v/>
      </c>
      <c r="BQ71" s="78" t="str">
        <f t="shared" ca="1" si="12"/>
        <v/>
      </c>
      <c r="BR71" s="78" t="str">
        <f t="shared" ca="1" si="13"/>
        <v/>
      </c>
      <c r="BS71" s="78" t="str">
        <f t="shared" ca="1" si="14"/>
        <v/>
      </c>
      <c r="BT71" s="78" t="str">
        <f t="shared" ca="1" si="19"/>
        <v/>
      </c>
      <c r="BU71" s="78" t="str">
        <f t="shared" ca="1" si="15"/>
        <v/>
      </c>
      <c r="BV71" s="78" t="str">
        <f t="shared" ca="1" si="16"/>
        <v/>
      </c>
    </row>
    <row r="72" spans="1:74" ht="15.75" customHeight="1" x14ac:dyDescent="0.25">
      <c r="A72" s="71" t="str">
        <f ca="1">IFERROR(__xludf.DUMMYFUNCTION("IFERROR(INDEX(FILTER(T4.2026!$A$2:$A$1000, T4.2026!$A$2:$A$1000&lt;&gt;""""), ROWS($A$9:A72)), """")"),"")</f>
        <v/>
      </c>
      <c r="B72" s="72" t="str">
        <f t="array" aca="1" ref="B72" ca="1">IF($A72="","",IFERROR(_xlfn.XLOOKUP($A72,'T4.2026'!$A$2:$A$1000,'T4.2026'!$B$2:$B$1000),""))</f>
        <v/>
      </c>
      <c r="C72" s="71" t="str">
        <f t="array" aca="1" ref="C72" ca="1">IF($A72="","",IFERROR(_xlfn.XLOOKUP($A72,'T4.2026'!$A$2:$A$1000,'T4.2026'!$C$2:$C$1000),""))</f>
        <v/>
      </c>
      <c r="D72" s="73" t="str">
        <f t="array" aca="1" ref="D72" ca="1">IF($A72="","",ROUND(IFERROR(_xlfn.XLOOKUP($A72,'T4.2026'!$A$2:$A$1000,'T4.2026'!$D$2:$D$1000),0),0))</f>
        <v/>
      </c>
      <c r="E72" s="73" t="str">
        <f t="array" aca="1" ref="E72" ca="1">IF($A72="","",IFERROR(_xlfn.XLOOKUP($A72,'T4.2026'!$A$2:$A$1000,'T4.2026'!$E$2:$E$1000),0))</f>
        <v/>
      </c>
      <c r="F72" s="75" t="str">
        <f t="shared" ca="1" si="6"/>
        <v/>
      </c>
      <c r="G72" s="75" t="str">
        <f t="shared" ref="G72:AI72" ca="1" si="91">IF($A72="","",IF(G$8=0,"",IF(SUM($AL72:$BO72)=0,0,ROUND($BU72*SUM($AL72:AM72)/SUM($AL72:$BO72),0)-ROUND($BU72*SUM($AL72:AL72)/SUM($AL72:$BO72),0))))</f>
        <v/>
      </c>
      <c r="H72" s="75" t="str">
        <f t="shared" ca="1" si="91"/>
        <v/>
      </c>
      <c r="I72" s="75" t="str">
        <f t="shared" ca="1" si="91"/>
        <v/>
      </c>
      <c r="J72" s="75" t="str">
        <f t="shared" ca="1" si="91"/>
        <v/>
      </c>
      <c r="K72" s="75" t="str">
        <f t="shared" ca="1" si="91"/>
        <v/>
      </c>
      <c r="L72" s="75" t="str">
        <f t="shared" ca="1" si="91"/>
        <v/>
      </c>
      <c r="M72" s="75" t="str">
        <f t="shared" ca="1" si="91"/>
        <v/>
      </c>
      <c r="N72" s="75" t="str">
        <f t="shared" ca="1" si="91"/>
        <v/>
      </c>
      <c r="O72" s="75" t="str">
        <f t="shared" ca="1" si="91"/>
        <v/>
      </c>
      <c r="P72" s="75" t="str">
        <f t="shared" ca="1" si="91"/>
        <v/>
      </c>
      <c r="Q72" s="75" t="str">
        <f t="shared" ca="1" si="91"/>
        <v/>
      </c>
      <c r="R72" s="75" t="str">
        <f t="shared" ca="1" si="91"/>
        <v/>
      </c>
      <c r="S72" s="75" t="str">
        <f t="shared" ca="1" si="91"/>
        <v/>
      </c>
      <c r="T72" s="75" t="str">
        <f t="shared" ca="1" si="91"/>
        <v/>
      </c>
      <c r="U72" s="75" t="str">
        <f t="shared" ca="1" si="91"/>
        <v/>
      </c>
      <c r="V72" s="75" t="str">
        <f t="shared" ca="1" si="91"/>
        <v/>
      </c>
      <c r="W72" s="75" t="str">
        <f t="shared" ca="1" si="91"/>
        <v/>
      </c>
      <c r="X72" s="75" t="str">
        <f t="shared" ca="1" si="91"/>
        <v/>
      </c>
      <c r="Y72" s="75" t="str">
        <f t="shared" ca="1" si="91"/>
        <v/>
      </c>
      <c r="Z72" s="75" t="str">
        <f t="shared" ca="1" si="91"/>
        <v/>
      </c>
      <c r="AA72" s="75" t="str">
        <f t="shared" ca="1" si="91"/>
        <v/>
      </c>
      <c r="AB72" s="75" t="str">
        <f t="shared" ca="1" si="91"/>
        <v/>
      </c>
      <c r="AC72" s="75" t="str">
        <f t="shared" ca="1" si="91"/>
        <v/>
      </c>
      <c r="AD72" s="75" t="str">
        <f t="shared" ca="1" si="91"/>
        <v/>
      </c>
      <c r="AE72" s="75" t="str">
        <f t="shared" ca="1" si="91"/>
        <v/>
      </c>
      <c r="AF72" s="75" t="str">
        <f t="shared" ca="1" si="91"/>
        <v/>
      </c>
      <c r="AG72" s="75" t="str">
        <f t="shared" ca="1" si="91"/>
        <v/>
      </c>
      <c r="AH72" s="75" t="str">
        <f t="shared" ca="1" si="91"/>
        <v/>
      </c>
      <c r="AI72" s="75" t="str">
        <f t="shared" ca="1" si="91"/>
        <v/>
      </c>
      <c r="AJ72" s="76" t="str">
        <f t="shared" ca="1" si="8"/>
        <v/>
      </c>
      <c r="AK72" s="76" t="str">
        <f t="shared" ca="1" si="9"/>
        <v/>
      </c>
      <c r="AL72" s="33" t="str">
        <f t="shared" ca="1" si="85"/>
        <v/>
      </c>
      <c r="AM72" s="33" t="str">
        <f t="shared" ca="1" si="85"/>
        <v/>
      </c>
      <c r="AN72" s="33" t="str">
        <f t="shared" ca="1" si="85"/>
        <v/>
      </c>
      <c r="AO72" s="33" t="str">
        <f t="shared" ca="1" si="85"/>
        <v/>
      </c>
      <c r="AP72" s="33" t="str">
        <f t="shared" ca="1" si="85"/>
        <v/>
      </c>
      <c r="AQ72" s="33" t="str">
        <f t="shared" ca="1" si="85"/>
        <v/>
      </c>
      <c r="AR72" s="33" t="str">
        <f t="shared" ca="1" si="85"/>
        <v/>
      </c>
      <c r="AS72" s="33" t="str">
        <f t="shared" ca="1" si="85"/>
        <v/>
      </c>
      <c r="AT72" s="33" t="str">
        <f t="shared" ca="1" si="85"/>
        <v/>
      </c>
      <c r="AU72" s="33" t="str">
        <f t="shared" ca="1" si="85"/>
        <v/>
      </c>
      <c r="AV72" s="33" t="str">
        <f t="shared" ca="1" si="85"/>
        <v/>
      </c>
      <c r="AW72" s="33" t="str">
        <f t="shared" ca="1" si="85"/>
        <v/>
      </c>
      <c r="AX72" s="33" t="str">
        <f t="shared" ca="1" si="85"/>
        <v/>
      </c>
      <c r="AY72" s="33" t="str">
        <f t="shared" ca="1" si="85"/>
        <v/>
      </c>
      <c r="AZ72" s="33" t="str">
        <f t="shared" ca="1" si="85"/>
        <v/>
      </c>
      <c r="BA72" s="33" t="str">
        <f t="shared" ca="1" si="85"/>
        <v/>
      </c>
      <c r="BB72" s="33" t="str">
        <f t="shared" ca="1" si="83"/>
        <v/>
      </c>
      <c r="BC72" s="33" t="str">
        <f t="shared" ca="1" si="83"/>
        <v/>
      </c>
      <c r="BD72" s="33" t="str">
        <f t="shared" ca="1" si="83"/>
        <v/>
      </c>
      <c r="BE72" s="33" t="str">
        <f t="shared" ca="1" si="83"/>
        <v/>
      </c>
      <c r="BF72" s="33" t="str">
        <f t="shared" ca="1" si="83"/>
        <v/>
      </c>
      <c r="BG72" s="33" t="str">
        <f t="shared" ca="1" si="83"/>
        <v/>
      </c>
      <c r="BH72" s="33" t="str">
        <f t="shared" ca="1" si="83"/>
        <v/>
      </c>
      <c r="BI72" s="33" t="str">
        <f t="shared" ca="1" si="83"/>
        <v/>
      </c>
      <c r="BJ72" s="33" t="str">
        <f t="shared" ca="1" si="83"/>
        <v/>
      </c>
      <c r="BK72" s="33" t="str">
        <f t="shared" ca="1" si="83"/>
        <v/>
      </c>
      <c r="BL72" s="33" t="str">
        <f t="shared" ca="1" si="83"/>
        <v/>
      </c>
      <c r="BM72" s="33" t="str">
        <f t="shared" ca="1" si="83"/>
        <v/>
      </c>
      <c r="BN72" s="33" t="str">
        <f t="shared" ca="1" si="83"/>
        <v/>
      </c>
      <c r="BO72" s="33" t="str">
        <f t="shared" ca="1" si="83"/>
        <v/>
      </c>
      <c r="BP72" s="33" t="str">
        <f t="shared" ca="1" si="11"/>
        <v/>
      </c>
      <c r="BQ72" s="78" t="str">
        <f t="shared" ca="1" si="12"/>
        <v/>
      </c>
      <c r="BR72" s="78" t="str">
        <f t="shared" ca="1" si="13"/>
        <v/>
      </c>
      <c r="BS72" s="78" t="str">
        <f t="shared" ca="1" si="14"/>
        <v/>
      </c>
      <c r="BT72" s="78" t="str">
        <f t="shared" ca="1" si="19"/>
        <v/>
      </c>
      <c r="BU72" s="78" t="str">
        <f t="shared" ca="1" si="15"/>
        <v/>
      </c>
      <c r="BV72" s="78" t="str">
        <f t="shared" ca="1" si="16"/>
        <v/>
      </c>
    </row>
    <row r="73" spans="1:74" ht="15.75" customHeight="1" x14ac:dyDescent="0.25">
      <c r="A73" s="71" t="str">
        <f ca="1">IFERROR(__xludf.DUMMYFUNCTION("IFERROR(INDEX(FILTER(T4.2026!$A$2:$A$1000, T4.2026!$A$2:$A$1000&lt;&gt;""""), ROWS($A$9:A73)), """")"),"")</f>
        <v/>
      </c>
      <c r="B73" s="72" t="str">
        <f t="array" aca="1" ref="B73" ca="1">IF($A73="","",IFERROR(_xlfn.XLOOKUP($A73,'T4.2026'!$A$2:$A$1000,'T4.2026'!$B$2:$B$1000),""))</f>
        <v/>
      </c>
      <c r="C73" s="71" t="str">
        <f t="array" aca="1" ref="C73" ca="1">IF($A73="","",IFERROR(_xlfn.XLOOKUP($A73,'T4.2026'!$A$2:$A$1000,'T4.2026'!$C$2:$C$1000),""))</f>
        <v/>
      </c>
      <c r="D73" s="73" t="str">
        <f t="array" aca="1" ref="D73" ca="1">IF($A73="","",ROUND(IFERROR(_xlfn.XLOOKUP($A73,'T4.2026'!$A$2:$A$1000,'T4.2026'!$D$2:$D$1000),0),0))</f>
        <v/>
      </c>
      <c r="E73" s="73" t="str">
        <f t="array" aca="1" ref="E73" ca="1">IF($A73="","",IFERROR(_xlfn.XLOOKUP($A73,'T4.2026'!$A$2:$A$1000,'T4.2026'!$E$2:$E$1000),0))</f>
        <v/>
      </c>
      <c r="F73" s="75" t="str">
        <f t="shared" ca="1" si="6"/>
        <v/>
      </c>
      <c r="G73" s="75" t="str">
        <f t="shared" ref="G73:AI73" ca="1" si="92">IF($A73="","",IF(G$8=0,"",IF(SUM($AL73:$BO73)=0,0,ROUND($BU73*SUM($AL73:AM73)/SUM($AL73:$BO73),0)-ROUND($BU73*SUM($AL73:AL73)/SUM($AL73:$BO73),0))))</f>
        <v/>
      </c>
      <c r="H73" s="75" t="str">
        <f t="shared" ca="1" si="92"/>
        <v/>
      </c>
      <c r="I73" s="75" t="str">
        <f t="shared" ca="1" si="92"/>
        <v/>
      </c>
      <c r="J73" s="75" t="str">
        <f t="shared" ca="1" si="92"/>
        <v/>
      </c>
      <c r="K73" s="75" t="str">
        <f t="shared" ca="1" si="92"/>
        <v/>
      </c>
      <c r="L73" s="75" t="str">
        <f t="shared" ca="1" si="92"/>
        <v/>
      </c>
      <c r="M73" s="75" t="str">
        <f t="shared" ca="1" si="92"/>
        <v/>
      </c>
      <c r="N73" s="75" t="str">
        <f t="shared" ca="1" si="92"/>
        <v/>
      </c>
      <c r="O73" s="75" t="str">
        <f t="shared" ca="1" si="92"/>
        <v/>
      </c>
      <c r="P73" s="75" t="str">
        <f t="shared" ca="1" si="92"/>
        <v/>
      </c>
      <c r="Q73" s="75" t="str">
        <f t="shared" ca="1" si="92"/>
        <v/>
      </c>
      <c r="R73" s="75" t="str">
        <f t="shared" ca="1" si="92"/>
        <v/>
      </c>
      <c r="S73" s="75" t="str">
        <f t="shared" ca="1" si="92"/>
        <v/>
      </c>
      <c r="T73" s="75" t="str">
        <f t="shared" ca="1" si="92"/>
        <v/>
      </c>
      <c r="U73" s="75" t="str">
        <f t="shared" ca="1" si="92"/>
        <v/>
      </c>
      <c r="V73" s="75" t="str">
        <f t="shared" ca="1" si="92"/>
        <v/>
      </c>
      <c r="W73" s="75" t="str">
        <f t="shared" ca="1" si="92"/>
        <v/>
      </c>
      <c r="X73" s="75" t="str">
        <f t="shared" ca="1" si="92"/>
        <v/>
      </c>
      <c r="Y73" s="75" t="str">
        <f t="shared" ca="1" si="92"/>
        <v/>
      </c>
      <c r="Z73" s="75" t="str">
        <f t="shared" ca="1" si="92"/>
        <v/>
      </c>
      <c r="AA73" s="75" t="str">
        <f t="shared" ca="1" si="92"/>
        <v/>
      </c>
      <c r="AB73" s="75" t="str">
        <f t="shared" ca="1" si="92"/>
        <v/>
      </c>
      <c r="AC73" s="75" t="str">
        <f t="shared" ca="1" si="92"/>
        <v/>
      </c>
      <c r="AD73" s="75" t="str">
        <f t="shared" ca="1" si="92"/>
        <v/>
      </c>
      <c r="AE73" s="75" t="str">
        <f t="shared" ca="1" si="92"/>
        <v/>
      </c>
      <c r="AF73" s="75" t="str">
        <f t="shared" ca="1" si="92"/>
        <v/>
      </c>
      <c r="AG73" s="75" t="str">
        <f t="shared" ca="1" si="92"/>
        <v/>
      </c>
      <c r="AH73" s="75" t="str">
        <f t="shared" ca="1" si="92"/>
        <v/>
      </c>
      <c r="AI73" s="75" t="str">
        <f t="shared" ca="1" si="92"/>
        <v/>
      </c>
      <c r="AJ73" s="76" t="str">
        <f t="shared" ca="1" si="8"/>
        <v/>
      </c>
      <c r="AK73" s="76" t="str">
        <f t="shared" ca="1" si="9"/>
        <v/>
      </c>
      <c r="AL73" s="33" t="str">
        <f t="shared" ca="1" si="85"/>
        <v/>
      </c>
      <c r="AM73" s="33" t="str">
        <f t="shared" ca="1" si="85"/>
        <v/>
      </c>
      <c r="AN73" s="33" t="str">
        <f t="shared" ca="1" si="85"/>
        <v/>
      </c>
      <c r="AO73" s="33" t="str">
        <f t="shared" ca="1" si="85"/>
        <v/>
      </c>
      <c r="AP73" s="33" t="str">
        <f t="shared" ca="1" si="85"/>
        <v/>
      </c>
      <c r="AQ73" s="33" t="str">
        <f t="shared" ca="1" si="85"/>
        <v/>
      </c>
      <c r="AR73" s="33" t="str">
        <f t="shared" ca="1" si="85"/>
        <v/>
      </c>
      <c r="AS73" s="33" t="str">
        <f t="shared" ca="1" si="85"/>
        <v/>
      </c>
      <c r="AT73" s="33" t="str">
        <f t="shared" ca="1" si="85"/>
        <v/>
      </c>
      <c r="AU73" s="33" t="str">
        <f t="shared" ca="1" si="85"/>
        <v/>
      </c>
      <c r="AV73" s="33" t="str">
        <f t="shared" ca="1" si="85"/>
        <v/>
      </c>
      <c r="AW73" s="33" t="str">
        <f t="shared" ca="1" si="85"/>
        <v/>
      </c>
      <c r="AX73" s="33" t="str">
        <f t="shared" ca="1" si="85"/>
        <v/>
      </c>
      <c r="AY73" s="33" t="str">
        <f t="shared" ca="1" si="85"/>
        <v/>
      </c>
      <c r="AZ73" s="33" t="str">
        <f t="shared" ca="1" si="85"/>
        <v/>
      </c>
      <c r="BA73" s="33" t="str">
        <f t="shared" ca="1" si="85"/>
        <v/>
      </c>
      <c r="BB73" s="33" t="str">
        <f t="shared" ca="1" si="83"/>
        <v/>
      </c>
      <c r="BC73" s="33" t="str">
        <f t="shared" ca="1" si="83"/>
        <v/>
      </c>
      <c r="BD73" s="33" t="str">
        <f t="shared" ca="1" si="83"/>
        <v/>
      </c>
      <c r="BE73" s="33" t="str">
        <f t="shared" ca="1" si="83"/>
        <v/>
      </c>
      <c r="BF73" s="33" t="str">
        <f t="shared" ca="1" si="83"/>
        <v/>
      </c>
      <c r="BG73" s="33" t="str">
        <f t="shared" ca="1" si="83"/>
        <v/>
      </c>
      <c r="BH73" s="33" t="str">
        <f t="shared" ca="1" si="83"/>
        <v/>
      </c>
      <c r="BI73" s="33" t="str">
        <f t="shared" ca="1" si="83"/>
        <v/>
      </c>
      <c r="BJ73" s="33" t="str">
        <f t="shared" ca="1" si="83"/>
        <v/>
      </c>
      <c r="BK73" s="33" t="str">
        <f t="shared" ca="1" si="83"/>
        <v/>
      </c>
      <c r="BL73" s="33" t="str">
        <f t="shared" ca="1" si="83"/>
        <v/>
      </c>
      <c r="BM73" s="33" t="str">
        <f t="shared" ca="1" si="83"/>
        <v/>
      </c>
      <c r="BN73" s="33" t="str">
        <f t="shared" ca="1" si="83"/>
        <v/>
      </c>
      <c r="BO73" s="33" t="str">
        <f t="shared" ca="1" si="83"/>
        <v/>
      </c>
      <c r="BP73" s="33" t="str">
        <f t="shared" ca="1" si="11"/>
        <v/>
      </c>
      <c r="BQ73" s="78" t="str">
        <f t="shared" ca="1" si="12"/>
        <v/>
      </c>
      <c r="BR73" s="78" t="str">
        <f t="shared" ca="1" si="13"/>
        <v/>
      </c>
      <c r="BS73" s="78" t="str">
        <f t="shared" ca="1" si="14"/>
        <v/>
      </c>
      <c r="BT73" s="78" t="str">
        <f t="shared" ca="1" si="19"/>
        <v/>
      </c>
      <c r="BU73" s="78" t="str">
        <f t="shared" ca="1" si="15"/>
        <v/>
      </c>
      <c r="BV73" s="78" t="str">
        <f t="shared" ca="1" si="16"/>
        <v/>
      </c>
    </row>
    <row r="74" spans="1:74" ht="15.75" customHeight="1" x14ac:dyDescent="0.25">
      <c r="A74" s="71" t="str">
        <f ca="1">IFERROR(__xludf.DUMMYFUNCTION("IFERROR(INDEX(FILTER(T4.2026!$A$2:$A$1000, T4.2026!$A$2:$A$1000&lt;&gt;""""), ROWS($A$9:A74)), """")"),"")</f>
        <v/>
      </c>
      <c r="B74" s="72" t="str">
        <f t="array" aca="1" ref="B74" ca="1">IF($A74="","",IFERROR(_xlfn.XLOOKUP($A74,'T4.2026'!$A$2:$A$1000,'T4.2026'!$B$2:$B$1000),""))</f>
        <v/>
      </c>
      <c r="C74" s="71" t="str">
        <f t="array" aca="1" ref="C74" ca="1">IF($A74="","",IFERROR(_xlfn.XLOOKUP($A74,'T4.2026'!$A$2:$A$1000,'T4.2026'!$C$2:$C$1000),""))</f>
        <v/>
      </c>
      <c r="D74" s="73" t="str">
        <f t="array" aca="1" ref="D74" ca="1">IF($A74="","",ROUND(IFERROR(_xlfn.XLOOKUP($A74,'T4.2026'!$A$2:$A$1000,'T4.2026'!$D$2:$D$1000),0),0))</f>
        <v/>
      </c>
      <c r="E74" s="73" t="str">
        <f t="array" aca="1" ref="E74" ca="1">IF($A74="","",IFERROR(_xlfn.XLOOKUP($A74,'T4.2026'!$A$2:$A$1000,'T4.2026'!$E$2:$E$1000),0))</f>
        <v/>
      </c>
      <c r="F74" s="75" t="str">
        <f t="shared" ca="1" si="6"/>
        <v/>
      </c>
      <c r="G74" s="75" t="str">
        <f t="shared" ref="G74:AI74" ca="1" si="93">IF($A74="","",IF(G$8=0,"",IF(SUM($AL74:$BO74)=0,0,ROUND($BU74*SUM($AL74:AM74)/SUM($AL74:$BO74),0)-ROUND($BU74*SUM($AL74:AL74)/SUM($AL74:$BO74),0))))</f>
        <v/>
      </c>
      <c r="H74" s="75" t="str">
        <f t="shared" ca="1" si="93"/>
        <v/>
      </c>
      <c r="I74" s="75" t="str">
        <f t="shared" ca="1" si="93"/>
        <v/>
      </c>
      <c r="J74" s="75" t="str">
        <f t="shared" ca="1" si="93"/>
        <v/>
      </c>
      <c r="K74" s="75" t="str">
        <f t="shared" ca="1" si="93"/>
        <v/>
      </c>
      <c r="L74" s="75" t="str">
        <f t="shared" ca="1" si="93"/>
        <v/>
      </c>
      <c r="M74" s="75" t="str">
        <f t="shared" ca="1" si="93"/>
        <v/>
      </c>
      <c r="N74" s="75" t="str">
        <f t="shared" ca="1" si="93"/>
        <v/>
      </c>
      <c r="O74" s="75" t="str">
        <f t="shared" ca="1" si="93"/>
        <v/>
      </c>
      <c r="P74" s="75" t="str">
        <f t="shared" ca="1" si="93"/>
        <v/>
      </c>
      <c r="Q74" s="75" t="str">
        <f t="shared" ca="1" si="93"/>
        <v/>
      </c>
      <c r="R74" s="75" t="str">
        <f t="shared" ca="1" si="93"/>
        <v/>
      </c>
      <c r="S74" s="75" t="str">
        <f t="shared" ca="1" si="93"/>
        <v/>
      </c>
      <c r="T74" s="75" t="str">
        <f t="shared" ca="1" si="93"/>
        <v/>
      </c>
      <c r="U74" s="75" t="str">
        <f t="shared" ca="1" si="93"/>
        <v/>
      </c>
      <c r="V74" s="75" t="str">
        <f t="shared" ca="1" si="93"/>
        <v/>
      </c>
      <c r="W74" s="75" t="str">
        <f t="shared" ca="1" si="93"/>
        <v/>
      </c>
      <c r="X74" s="75" t="str">
        <f t="shared" ca="1" si="93"/>
        <v/>
      </c>
      <c r="Y74" s="75" t="str">
        <f t="shared" ca="1" si="93"/>
        <v/>
      </c>
      <c r="Z74" s="75" t="str">
        <f t="shared" ca="1" si="93"/>
        <v/>
      </c>
      <c r="AA74" s="75" t="str">
        <f t="shared" ca="1" si="93"/>
        <v/>
      </c>
      <c r="AB74" s="75" t="str">
        <f t="shared" ca="1" si="93"/>
        <v/>
      </c>
      <c r="AC74" s="75" t="str">
        <f t="shared" ca="1" si="93"/>
        <v/>
      </c>
      <c r="AD74" s="75" t="str">
        <f t="shared" ca="1" si="93"/>
        <v/>
      </c>
      <c r="AE74" s="75" t="str">
        <f t="shared" ca="1" si="93"/>
        <v/>
      </c>
      <c r="AF74" s="75" t="str">
        <f t="shared" ca="1" si="93"/>
        <v/>
      </c>
      <c r="AG74" s="75" t="str">
        <f t="shared" ca="1" si="93"/>
        <v/>
      </c>
      <c r="AH74" s="75" t="str">
        <f t="shared" ca="1" si="93"/>
        <v/>
      </c>
      <c r="AI74" s="75" t="str">
        <f t="shared" ca="1" si="93"/>
        <v/>
      </c>
      <c r="AJ74" s="76" t="str">
        <f t="shared" ca="1" si="8"/>
        <v/>
      </c>
      <c r="AK74" s="76" t="str">
        <f t="shared" ca="1" si="9"/>
        <v/>
      </c>
      <c r="AL74" s="33" t="str">
        <f t="shared" ca="1" si="85"/>
        <v/>
      </c>
      <c r="AM74" s="33" t="str">
        <f t="shared" ca="1" si="85"/>
        <v/>
      </c>
      <c r="AN74" s="33" t="str">
        <f t="shared" ca="1" si="85"/>
        <v/>
      </c>
      <c r="AO74" s="33" t="str">
        <f t="shared" ca="1" si="85"/>
        <v/>
      </c>
      <c r="AP74" s="33" t="str">
        <f t="shared" ca="1" si="85"/>
        <v/>
      </c>
      <c r="AQ74" s="33" t="str">
        <f t="shared" ca="1" si="85"/>
        <v/>
      </c>
      <c r="AR74" s="33" t="str">
        <f t="shared" ca="1" si="85"/>
        <v/>
      </c>
      <c r="AS74" s="33" t="str">
        <f t="shared" ca="1" si="85"/>
        <v/>
      </c>
      <c r="AT74" s="33" t="str">
        <f t="shared" ca="1" si="85"/>
        <v/>
      </c>
      <c r="AU74" s="33" t="str">
        <f t="shared" ca="1" si="85"/>
        <v/>
      </c>
      <c r="AV74" s="33" t="str">
        <f t="shared" ca="1" si="85"/>
        <v/>
      </c>
      <c r="AW74" s="33" t="str">
        <f t="shared" ca="1" si="85"/>
        <v/>
      </c>
      <c r="AX74" s="33" t="str">
        <f t="shared" ca="1" si="85"/>
        <v/>
      </c>
      <c r="AY74" s="33" t="str">
        <f t="shared" ca="1" si="85"/>
        <v/>
      </c>
      <c r="AZ74" s="33" t="str">
        <f t="shared" ca="1" si="85"/>
        <v/>
      </c>
      <c r="BA74" s="33" t="str">
        <f t="shared" ca="1" si="85"/>
        <v/>
      </c>
      <c r="BB74" s="33" t="str">
        <f t="shared" ca="1" si="83"/>
        <v/>
      </c>
      <c r="BC74" s="33" t="str">
        <f t="shared" ca="1" si="83"/>
        <v/>
      </c>
      <c r="BD74" s="33" t="str">
        <f t="shared" ca="1" si="83"/>
        <v/>
      </c>
      <c r="BE74" s="33" t="str">
        <f t="shared" ca="1" si="83"/>
        <v/>
      </c>
      <c r="BF74" s="33" t="str">
        <f t="shared" ca="1" si="83"/>
        <v/>
      </c>
      <c r="BG74" s="33" t="str">
        <f t="shared" ca="1" si="83"/>
        <v/>
      </c>
      <c r="BH74" s="33" t="str">
        <f t="shared" ca="1" si="83"/>
        <v/>
      </c>
      <c r="BI74" s="33" t="str">
        <f t="shared" ca="1" si="83"/>
        <v/>
      </c>
      <c r="BJ74" s="33" t="str">
        <f t="shared" ca="1" si="83"/>
        <v/>
      </c>
      <c r="BK74" s="33" t="str">
        <f t="shared" ca="1" si="83"/>
        <v/>
      </c>
      <c r="BL74" s="33" t="str">
        <f t="shared" ca="1" si="83"/>
        <v/>
      </c>
      <c r="BM74" s="33" t="str">
        <f t="shared" ca="1" si="83"/>
        <v/>
      </c>
      <c r="BN74" s="33" t="str">
        <f t="shared" ca="1" si="83"/>
        <v/>
      </c>
      <c r="BO74" s="33" t="str">
        <f t="shared" ca="1" si="83"/>
        <v/>
      </c>
      <c r="BP74" s="33" t="str">
        <f t="shared" ca="1" si="11"/>
        <v/>
      </c>
      <c r="BQ74" s="78" t="str">
        <f t="shared" ca="1" si="12"/>
        <v/>
      </c>
      <c r="BR74" s="78" t="str">
        <f t="shared" ca="1" si="13"/>
        <v/>
      </c>
      <c r="BS74" s="78" t="str">
        <f t="shared" ca="1" si="14"/>
        <v/>
      </c>
      <c r="BT74" s="78" t="str">
        <f t="shared" ca="1" si="19"/>
        <v/>
      </c>
      <c r="BU74" s="78" t="str">
        <f t="shared" ca="1" si="15"/>
        <v/>
      </c>
      <c r="BV74" s="78" t="str">
        <f t="shared" ca="1" si="16"/>
        <v/>
      </c>
    </row>
    <row r="75" spans="1:74" ht="15.75" customHeight="1" x14ac:dyDescent="0.25">
      <c r="A75" s="71" t="str">
        <f ca="1">IFERROR(__xludf.DUMMYFUNCTION("IFERROR(INDEX(FILTER(T4.2026!$A$2:$A$1000, T4.2026!$A$2:$A$1000&lt;&gt;""""), ROWS($A$9:A75)), """")"),"")</f>
        <v/>
      </c>
      <c r="B75" s="72" t="str">
        <f t="array" aca="1" ref="B75" ca="1">IF($A75="","",IFERROR(_xlfn.XLOOKUP($A75,'T4.2026'!$A$2:$A$1000,'T4.2026'!$B$2:$B$1000),""))</f>
        <v/>
      </c>
      <c r="C75" s="71" t="str">
        <f t="array" aca="1" ref="C75" ca="1">IF($A75="","",IFERROR(_xlfn.XLOOKUP($A75,'T4.2026'!$A$2:$A$1000,'T4.2026'!$C$2:$C$1000),""))</f>
        <v/>
      </c>
      <c r="D75" s="73" t="str">
        <f t="array" aca="1" ref="D75" ca="1">IF($A75="","",ROUND(IFERROR(_xlfn.XLOOKUP($A75,'T4.2026'!$A$2:$A$1000,'T4.2026'!$D$2:$D$1000),0),0))</f>
        <v/>
      </c>
      <c r="E75" s="73" t="str">
        <f t="array" aca="1" ref="E75" ca="1">IF($A75="","",IFERROR(_xlfn.XLOOKUP($A75,'T4.2026'!$A$2:$A$1000,'T4.2026'!$E$2:$E$1000),0))</f>
        <v/>
      </c>
      <c r="F75" s="75" t="str">
        <f t="shared" ca="1" si="6"/>
        <v/>
      </c>
      <c r="G75" s="75" t="str">
        <f t="shared" ref="G75:AI75" ca="1" si="94">IF($A75="","",IF(G$8=0,"",IF(SUM($AL75:$BO75)=0,0,ROUND($BU75*SUM($AL75:AM75)/SUM($AL75:$BO75),0)-ROUND($BU75*SUM($AL75:AL75)/SUM($AL75:$BO75),0))))</f>
        <v/>
      </c>
      <c r="H75" s="75" t="str">
        <f t="shared" ca="1" si="94"/>
        <v/>
      </c>
      <c r="I75" s="75" t="str">
        <f t="shared" ca="1" si="94"/>
        <v/>
      </c>
      <c r="J75" s="75" t="str">
        <f t="shared" ca="1" si="94"/>
        <v/>
      </c>
      <c r="K75" s="75" t="str">
        <f t="shared" ca="1" si="94"/>
        <v/>
      </c>
      <c r="L75" s="75" t="str">
        <f t="shared" ca="1" si="94"/>
        <v/>
      </c>
      <c r="M75" s="75" t="str">
        <f t="shared" ca="1" si="94"/>
        <v/>
      </c>
      <c r="N75" s="75" t="str">
        <f t="shared" ca="1" si="94"/>
        <v/>
      </c>
      <c r="O75" s="75" t="str">
        <f t="shared" ca="1" si="94"/>
        <v/>
      </c>
      <c r="P75" s="75" t="str">
        <f t="shared" ca="1" si="94"/>
        <v/>
      </c>
      <c r="Q75" s="75" t="str">
        <f t="shared" ca="1" si="94"/>
        <v/>
      </c>
      <c r="R75" s="75" t="str">
        <f t="shared" ca="1" si="94"/>
        <v/>
      </c>
      <c r="S75" s="75" t="str">
        <f t="shared" ca="1" si="94"/>
        <v/>
      </c>
      <c r="T75" s="75" t="str">
        <f t="shared" ca="1" si="94"/>
        <v/>
      </c>
      <c r="U75" s="75" t="str">
        <f t="shared" ca="1" si="94"/>
        <v/>
      </c>
      <c r="V75" s="75" t="str">
        <f t="shared" ca="1" si="94"/>
        <v/>
      </c>
      <c r="W75" s="75" t="str">
        <f t="shared" ca="1" si="94"/>
        <v/>
      </c>
      <c r="X75" s="75" t="str">
        <f t="shared" ca="1" si="94"/>
        <v/>
      </c>
      <c r="Y75" s="75" t="str">
        <f t="shared" ca="1" si="94"/>
        <v/>
      </c>
      <c r="Z75" s="75" t="str">
        <f t="shared" ca="1" si="94"/>
        <v/>
      </c>
      <c r="AA75" s="75" t="str">
        <f t="shared" ca="1" si="94"/>
        <v/>
      </c>
      <c r="AB75" s="75" t="str">
        <f t="shared" ca="1" si="94"/>
        <v/>
      </c>
      <c r="AC75" s="75" t="str">
        <f t="shared" ca="1" si="94"/>
        <v/>
      </c>
      <c r="AD75" s="75" t="str">
        <f t="shared" ca="1" si="94"/>
        <v/>
      </c>
      <c r="AE75" s="75" t="str">
        <f t="shared" ca="1" si="94"/>
        <v/>
      </c>
      <c r="AF75" s="75" t="str">
        <f t="shared" ca="1" si="94"/>
        <v/>
      </c>
      <c r="AG75" s="75" t="str">
        <f t="shared" ca="1" si="94"/>
        <v/>
      </c>
      <c r="AH75" s="75" t="str">
        <f t="shared" ca="1" si="94"/>
        <v/>
      </c>
      <c r="AI75" s="75" t="str">
        <f t="shared" ca="1" si="94"/>
        <v/>
      </c>
      <c r="AJ75" s="76" t="str">
        <f t="shared" ca="1" si="8"/>
        <v/>
      </c>
      <c r="AK75" s="76" t="str">
        <f t="shared" ca="1" si="9"/>
        <v/>
      </c>
      <c r="AL75" s="33" t="str">
        <f t="shared" ca="1" si="85"/>
        <v/>
      </c>
      <c r="AM75" s="33" t="str">
        <f t="shared" ca="1" si="85"/>
        <v/>
      </c>
      <c r="AN75" s="33" t="str">
        <f t="shared" ca="1" si="85"/>
        <v/>
      </c>
      <c r="AO75" s="33" t="str">
        <f t="shared" ca="1" si="85"/>
        <v/>
      </c>
      <c r="AP75" s="33" t="str">
        <f t="shared" ca="1" si="85"/>
        <v/>
      </c>
      <c r="AQ75" s="33" t="str">
        <f t="shared" ca="1" si="85"/>
        <v/>
      </c>
      <c r="AR75" s="33" t="str">
        <f t="shared" ca="1" si="85"/>
        <v/>
      </c>
      <c r="AS75" s="33" t="str">
        <f t="shared" ca="1" si="85"/>
        <v/>
      </c>
      <c r="AT75" s="33" t="str">
        <f t="shared" ca="1" si="85"/>
        <v/>
      </c>
      <c r="AU75" s="33" t="str">
        <f t="shared" ca="1" si="85"/>
        <v/>
      </c>
      <c r="AV75" s="33" t="str">
        <f t="shared" ca="1" si="85"/>
        <v/>
      </c>
      <c r="AW75" s="33" t="str">
        <f t="shared" ca="1" si="85"/>
        <v/>
      </c>
      <c r="AX75" s="33" t="str">
        <f t="shared" ca="1" si="85"/>
        <v/>
      </c>
      <c r="AY75" s="33" t="str">
        <f t="shared" ca="1" si="85"/>
        <v/>
      </c>
      <c r="AZ75" s="33" t="str">
        <f t="shared" ca="1" si="85"/>
        <v/>
      </c>
      <c r="BA75" s="33" t="str">
        <f t="shared" ca="1" si="85"/>
        <v/>
      </c>
      <c r="BB75" s="33" t="str">
        <f t="shared" ca="1" si="83"/>
        <v/>
      </c>
      <c r="BC75" s="33" t="str">
        <f t="shared" ca="1" si="83"/>
        <v/>
      </c>
      <c r="BD75" s="33" t="str">
        <f t="shared" ca="1" si="83"/>
        <v/>
      </c>
      <c r="BE75" s="33" t="str">
        <f t="shared" ca="1" si="83"/>
        <v/>
      </c>
      <c r="BF75" s="33" t="str">
        <f t="shared" ca="1" si="83"/>
        <v/>
      </c>
      <c r="BG75" s="33" t="str">
        <f t="shared" ca="1" si="83"/>
        <v/>
      </c>
      <c r="BH75" s="33" t="str">
        <f t="shared" ca="1" si="83"/>
        <v/>
      </c>
      <c r="BI75" s="33" t="str">
        <f t="shared" ca="1" si="83"/>
        <v/>
      </c>
      <c r="BJ75" s="33" t="str">
        <f t="shared" ca="1" si="83"/>
        <v/>
      </c>
      <c r="BK75" s="33" t="str">
        <f t="shared" ca="1" si="83"/>
        <v/>
      </c>
      <c r="BL75" s="33" t="str">
        <f t="shared" ca="1" si="83"/>
        <v/>
      </c>
      <c r="BM75" s="33" t="str">
        <f t="shared" ca="1" si="83"/>
        <v/>
      </c>
      <c r="BN75" s="33" t="str">
        <f t="shared" ca="1" si="83"/>
        <v/>
      </c>
      <c r="BO75" s="33" t="str">
        <f t="shared" ca="1" si="83"/>
        <v/>
      </c>
      <c r="BP75" s="33" t="str">
        <f t="shared" ca="1" si="11"/>
        <v/>
      </c>
      <c r="BQ75" s="78" t="str">
        <f t="shared" ca="1" si="12"/>
        <v/>
      </c>
      <c r="BR75" s="78" t="str">
        <f t="shared" ca="1" si="13"/>
        <v/>
      </c>
      <c r="BS75" s="78" t="str">
        <f t="shared" ca="1" si="14"/>
        <v/>
      </c>
      <c r="BT75" s="78" t="str">
        <f t="shared" ca="1" si="19"/>
        <v/>
      </c>
      <c r="BU75" s="78" t="str">
        <f t="shared" ca="1" si="15"/>
        <v/>
      </c>
      <c r="BV75" s="78" t="str">
        <f t="shared" ca="1" si="16"/>
        <v/>
      </c>
    </row>
    <row r="76" spans="1:74" ht="15.75" customHeight="1" x14ac:dyDescent="0.25">
      <c r="A76" s="71" t="str">
        <f ca="1">IFERROR(__xludf.DUMMYFUNCTION("IFERROR(INDEX(FILTER(T4.2026!$A$2:$A$1000, T4.2026!$A$2:$A$1000&lt;&gt;""""), ROWS($A$9:A76)), """")"),"")</f>
        <v/>
      </c>
      <c r="B76" s="72" t="str">
        <f t="array" aca="1" ref="B76" ca="1">IF($A76="","",IFERROR(_xlfn.XLOOKUP($A76,'T4.2026'!$A$2:$A$1000,'T4.2026'!$B$2:$B$1000),""))</f>
        <v/>
      </c>
      <c r="C76" s="71" t="str">
        <f t="array" aca="1" ref="C76" ca="1">IF($A76="","",IFERROR(_xlfn.XLOOKUP($A76,'T4.2026'!$A$2:$A$1000,'T4.2026'!$C$2:$C$1000),""))</f>
        <v/>
      </c>
      <c r="D76" s="73" t="str">
        <f t="array" aca="1" ref="D76" ca="1">IF($A76="","",ROUND(IFERROR(_xlfn.XLOOKUP($A76,'T4.2026'!$A$2:$A$1000,'T4.2026'!$D$2:$D$1000),0),0))</f>
        <v/>
      </c>
      <c r="E76" s="73" t="str">
        <f t="array" aca="1" ref="E76" ca="1">IF($A76="","",IFERROR(_xlfn.XLOOKUP($A76,'T4.2026'!$A$2:$A$1000,'T4.2026'!$E$2:$E$1000),0))</f>
        <v/>
      </c>
      <c r="F76" s="75" t="str">
        <f t="shared" ca="1" si="6"/>
        <v/>
      </c>
      <c r="G76" s="75" t="str">
        <f t="shared" ref="G76:AI76" ca="1" si="95">IF($A76="","",IF(G$8=0,"",IF(SUM($AL76:$BO76)=0,0,ROUND($BU76*SUM($AL76:AM76)/SUM($AL76:$BO76),0)-ROUND($BU76*SUM($AL76:AL76)/SUM($AL76:$BO76),0))))</f>
        <v/>
      </c>
      <c r="H76" s="75" t="str">
        <f t="shared" ca="1" si="95"/>
        <v/>
      </c>
      <c r="I76" s="75" t="str">
        <f t="shared" ca="1" si="95"/>
        <v/>
      </c>
      <c r="J76" s="75" t="str">
        <f t="shared" ca="1" si="95"/>
        <v/>
      </c>
      <c r="K76" s="75" t="str">
        <f t="shared" ca="1" si="95"/>
        <v/>
      </c>
      <c r="L76" s="75" t="str">
        <f t="shared" ca="1" si="95"/>
        <v/>
      </c>
      <c r="M76" s="75" t="str">
        <f t="shared" ca="1" si="95"/>
        <v/>
      </c>
      <c r="N76" s="75" t="str">
        <f t="shared" ca="1" si="95"/>
        <v/>
      </c>
      <c r="O76" s="75" t="str">
        <f t="shared" ca="1" si="95"/>
        <v/>
      </c>
      <c r="P76" s="75" t="str">
        <f t="shared" ca="1" si="95"/>
        <v/>
      </c>
      <c r="Q76" s="75" t="str">
        <f t="shared" ca="1" si="95"/>
        <v/>
      </c>
      <c r="R76" s="75" t="str">
        <f t="shared" ca="1" si="95"/>
        <v/>
      </c>
      <c r="S76" s="75" t="str">
        <f t="shared" ca="1" si="95"/>
        <v/>
      </c>
      <c r="T76" s="75" t="str">
        <f t="shared" ca="1" si="95"/>
        <v/>
      </c>
      <c r="U76" s="75" t="str">
        <f t="shared" ca="1" si="95"/>
        <v/>
      </c>
      <c r="V76" s="75" t="str">
        <f t="shared" ca="1" si="95"/>
        <v/>
      </c>
      <c r="W76" s="75" t="str">
        <f t="shared" ca="1" si="95"/>
        <v/>
      </c>
      <c r="X76" s="75" t="str">
        <f t="shared" ca="1" si="95"/>
        <v/>
      </c>
      <c r="Y76" s="75" t="str">
        <f t="shared" ca="1" si="95"/>
        <v/>
      </c>
      <c r="Z76" s="75" t="str">
        <f t="shared" ca="1" si="95"/>
        <v/>
      </c>
      <c r="AA76" s="75" t="str">
        <f t="shared" ca="1" si="95"/>
        <v/>
      </c>
      <c r="AB76" s="75" t="str">
        <f t="shared" ca="1" si="95"/>
        <v/>
      </c>
      <c r="AC76" s="75" t="str">
        <f t="shared" ca="1" si="95"/>
        <v/>
      </c>
      <c r="AD76" s="75" t="str">
        <f t="shared" ca="1" si="95"/>
        <v/>
      </c>
      <c r="AE76" s="75" t="str">
        <f t="shared" ca="1" si="95"/>
        <v/>
      </c>
      <c r="AF76" s="75" t="str">
        <f t="shared" ca="1" si="95"/>
        <v/>
      </c>
      <c r="AG76" s="75" t="str">
        <f t="shared" ca="1" si="95"/>
        <v/>
      </c>
      <c r="AH76" s="75" t="str">
        <f t="shared" ca="1" si="95"/>
        <v/>
      </c>
      <c r="AI76" s="75" t="str">
        <f t="shared" ca="1" si="95"/>
        <v/>
      </c>
      <c r="AJ76" s="76" t="str">
        <f t="shared" ca="1" si="8"/>
        <v/>
      </c>
      <c r="AK76" s="76" t="str">
        <f t="shared" ca="1" si="9"/>
        <v/>
      </c>
      <c r="AL76" s="33" t="str">
        <f t="shared" ca="1" si="85"/>
        <v/>
      </c>
      <c r="AM76" s="33" t="str">
        <f t="shared" ca="1" si="85"/>
        <v/>
      </c>
      <c r="AN76" s="33" t="str">
        <f t="shared" ca="1" si="85"/>
        <v/>
      </c>
      <c r="AO76" s="33" t="str">
        <f t="shared" ca="1" si="85"/>
        <v/>
      </c>
      <c r="AP76" s="33" t="str">
        <f t="shared" ca="1" si="85"/>
        <v/>
      </c>
      <c r="AQ76" s="33" t="str">
        <f t="shared" ca="1" si="85"/>
        <v/>
      </c>
      <c r="AR76" s="33" t="str">
        <f t="shared" ca="1" si="85"/>
        <v/>
      </c>
      <c r="AS76" s="33" t="str">
        <f t="shared" ca="1" si="85"/>
        <v/>
      </c>
      <c r="AT76" s="33" t="str">
        <f t="shared" ca="1" si="85"/>
        <v/>
      </c>
      <c r="AU76" s="33" t="str">
        <f t="shared" ca="1" si="85"/>
        <v/>
      </c>
      <c r="AV76" s="33" t="str">
        <f t="shared" ca="1" si="85"/>
        <v/>
      </c>
      <c r="AW76" s="33" t="str">
        <f t="shared" ca="1" si="85"/>
        <v/>
      </c>
      <c r="AX76" s="33" t="str">
        <f t="shared" ca="1" si="85"/>
        <v/>
      </c>
      <c r="AY76" s="33" t="str">
        <f t="shared" ca="1" si="85"/>
        <v/>
      </c>
      <c r="AZ76" s="33" t="str">
        <f t="shared" ca="1" si="85"/>
        <v/>
      </c>
      <c r="BA76" s="33" t="str">
        <f t="shared" ca="1" si="85"/>
        <v/>
      </c>
      <c r="BB76" s="33" t="str">
        <f t="shared" ca="1" si="83"/>
        <v/>
      </c>
      <c r="BC76" s="33" t="str">
        <f t="shared" ca="1" si="83"/>
        <v/>
      </c>
      <c r="BD76" s="33" t="str">
        <f t="shared" ca="1" si="83"/>
        <v/>
      </c>
      <c r="BE76" s="33" t="str">
        <f t="shared" ca="1" si="83"/>
        <v/>
      </c>
      <c r="BF76" s="33" t="str">
        <f t="shared" ca="1" si="83"/>
        <v/>
      </c>
      <c r="BG76" s="33" t="str">
        <f t="shared" ca="1" si="83"/>
        <v/>
      </c>
      <c r="BH76" s="33" t="str">
        <f t="shared" ca="1" si="83"/>
        <v/>
      </c>
      <c r="BI76" s="33" t="str">
        <f t="shared" ca="1" si="83"/>
        <v/>
      </c>
      <c r="BJ76" s="33" t="str">
        <f t="shared" ca="1" si="83"/>
        <v/>
      </c>
      <c r="BK76" s="33" t="str">
        <f t="shared" ca="1" si="83"/>
        <v/>
      </c>
      <c r="BL76" s="33" t="str">
        <f t="shared" ca="1" si="83"/>
        <v/>
      </c>
      <c r="BM76" s="33" t="str">
        <f t="shared" ca="1" si="83"/>
        <v/>
      </c>
      <c r="BN76" s="33" t="str">
        <f t="shared" ca="1" si="83"/>
        <v/>
      </c>
      <c r="BO76" s="33" t="str">
        <f t="shared" ca="1" si="83"/>
        <v/>
      </c>
      <c r="BP76" s="33" t="str">
        <f t="shared" ca="1" si="11"/>
        <v/>
      </c>
      <c r="BQ76" s="78" t="str">
        <f t="shared" ca="1" si="12"/>
        <v/>
      </c>
      <c r="BR76" s="78" t="str">
        <f t="shared" ca="1" si="13"/>
        <v/>
      </c>
      <c r="BS76" s="78" t="str">
        <f t="shared" ca="1" si="14"/>
        <v/>
      </c>
      <c r="BT76" s="78" t="str">
        <f t="shared" ca="1" si="19"/>
        <v/>
      </c>
      <c r="BU76" s="78" t="str">
        <f t="shared" ca="1" si="15"/>
        <v/>
      </c>
      <c r="BV76" s="78" t="str">
        <f t="shared" ca="1" si="16"/>
        <v/>
      </c>
    </row>
    <row r="77" spans="1:74" ht="15.75" customHeight="1" x14ac:dyDescent="0.25">
      <c r="A77" s="71" t="str">
        <f ca="1">IFERROR(__xludf.DUMMYFUNCTION("IFERROR(INDEX(FILTER(T4.2026!$A$2:$A$1000, T4.2026!$A$2:$A$1000&lt;&gt;""""), ROWS($A$9:A77)), """")"),"")</f>
        <v/>
      </c>
      <c r="B77" s="72" t="str">
        <f t="array" aca="1" ref="B77" ca="1">IF($A77="","",IFERROR(_xlfn.XLOOKUP($A77,'T4.2026'!$A$2:$A$1000,'T4.2026'!$B$2:$B$1000),""))</f>
        <v/>
      </c>
      <c r="C77" s="71" t="str">
        <f t="array" aca="1" ref="C77" ca="1">IF($A77="","",IFERROR(_xlfn.XLOOKUP($A77,'T4.2026'!$A$2:$A$1000,'T4.2026'!$C$2:$C$1000),""))</f>
        <v/>
      </c>
      <c r="D77" s="73" t="str">
        <f t="array" aca="1" ref="D77" ca="1">IF($A77="","",ROUND(IFERROR(_xlfn.XLOOKUP($A77,'T4.2026'!$A$2:$A$1000,'T4.2026'!$D$2:$D$1000),0),0))</f>
        <v/>
      </c>
      <c r="E77" s="73" t="str">
        <f t="array" aca="1" ref="E77" ca="1">IF($A77="","",IFERROR(_xlfn.XLOOKUP($A77,'T4.2026'!$A$2:$A$1000,'T4.2026'!$E$2:$E$1000),0))</f>
        <v/>
      </c>
      <c r="F77" s="75" t="str">
        <f t="shared" ca="1" si="6"/>
        <v/>
      </c>
      <c r="G77" s="75" t="str">
        <f t="shared" ref="G77:AI77" ca="1" si="96">IF($A77="","",IF(G$8=0,"",IF(SUM($AL77:$BO77)=0,0,ROUND($BU77*SUM($AL77:AM77)/SUM($AL77:$BO77),0)-ROUND($BU77*SUM($AL77:AL77)/SUM($AL77:$BO77),0))))</f>
        <v/>
      </c>
      <c r="H77" s="75" t="str">
        <f t="shared" ca="1" si="96"/>
        <v/>
      </c>
      <c r="I77" s="75" t="str">
        <f t="shared" ca="1" si="96"/>
        <v/>
      </c>
      <c r="J77" s="75" t="str">
        <f t="shared" ca="1" si="96"/>
        <v/>
      </c>
      <c r="K77" s="75" t="str">
        <f t="shared" ca="1" si="96"/>
        <v/>
      </c>
      <c r="L77" s="75" t="str">
        <f t="shared" ca="1" si="96"/>
        <v/>
      </c>
      <c r="M77" s="75" t="str">
        <f t="shared" ca="1" si="96"/>
        <v/>
      </c>
      <c r="N77" s="75" t="str">
        <f t="shared" ca="1" si="96"/>
        <v/>
      </c>
      <c r="O77" s="75" t="str">
        <f t="shared" ca="1" si="96"/>
        <v/>
      </c>
      <c r="P77" s="75" t="str">
        <f t="shared" ca="1" si="96"/>
        <v/>
      </c>
      <c r="Q77" s="75" t="str">
        <f t="shared" ca="1" si="96"/>
        <v/>
      </c>
      <c r="R77" s="75" t="str">
        <f t="shared" ca="1" si="96"/>
        <v/>
      </c>
      <c r="S77" s="75" t="str">
        <f t="shared" ca="1" si="96"/>
        <v/>
      </c>
      <c r="T77" s="75" t="str">
        <f t="shared" ca="1" si="96"/>
        <v/>
      </c>
      <c r="U77" s="75" t="str">
        <f t="shared" ca="1" si="96"/>
        <v/>
      </c>
      <c r="V77" s="75" t="str">
        <f t="shared" ca="1" si="96"/>
        <v/>
      </c>
      <c r="W77" s="75" t="str">
        <f t="shared" ca="1" si="96"/>
        <v/>
      </c>
      <c r="X77" s="75" t="str">
        <f t="shared" ca="1" si="96"/>
        <v/>
      </c>
      <c r="Y77" s="75" t="str">
        <f t="shared" ca="1" si="96"/>
        <v/>
      </c>
      <c r="Z77" s="75" t="str">
        <f t="shared" ca="1" si="96"/>
        <v/>
      </c>
      <c r="AA77" s="75" t="str">
        <f t="shared" ca="1" si="96"/>
        <v/>
      </c>
      <c r="AB77" s="75" t="str">
        <f t="shared" ca="1" si="96"/>
        <v/>
      </c>
      <c r="AC77" s="75" t="str">
        <f t="shared" ca="1" si="96"/>
        <v/>
      </c>
      <c r="AD77" s="75" t="str">
        <f t="shared" ca="1" si="96"/>
        <v/>
      </c>
      <c r="AE77" s="75" t="str">
        <f t="shared" ca="1" si="96"/>
        <v/>
      </c>
      <c r="AF77" s="75" t="str">
        <f t="shared" ca="1" si="96"/>
        <v/>
      </c>
      <c r="AG77" s="75" t="str">
        <f t="shared" ca="1" si="96"/>
        <v/>
      </c>
      <c r="AH77" s="75" t="str">
        <f t="shared" ca="1" si="96"/>
        <v/>
      </c>
      <c r="AI77" s="75" t="str">
        <f t="shared" ca="1" si="96"/>
        <v/>
      </c>
      <c r="AJ77" s="76" t="str">
        <f t="shared" ca="1" si="8"/>
        <v/>
      </c>
      <c r="AK77" s="76" t="str">
        <f t="shared" ca="1" si="9"/>
        <v/>
      </c>
      <c r="AL77" s="33" t="str">
        <f t="shared" ca="1" si="85"/>
        <v/>
      </c>
      <c r="AM77" s="33" t="str">
        <f t="shared" ca="1" si="85"/>
        <v/>
      </c>
      <c r="AN77" s="33" t="str">
        <f t="shared" ca="1" si="85"/>
        <v/>
      </c>
      <c r="AO77" s="33" t="str">
        <f t="shared" ca="1" si="85"/>
        <v/>
      </c>
      <c r="AP77" s="33" t="str">
        <f t="shared" ca="1" si="85"/>
        <v/>
      </c>
      <c r="AQ77" s="33" t="str">
        <f t="shared" ca="1" si="85"/>
        <v/>
      </c>
      <c r="AR77" s="33" t="str">
        <f t="shared" ca="1" si="85"/>
        <v/>
      </c>
      <c r="AS77" s="33" t="str">
        <f t="shared" ca="1" si="85"/>
        <v/>
      </c>
      <c r="AT77" s="33" t="str">
        <f t="shared" ca="1" si="85"/>
        <v/>
      </c>
      <c r="AU77" s="33" t="str">
        <f t="shared" ca="1" si="85"/>
        <v/>
      </c>
      <c r="AV77" s="33" t="str">
        <f t="shared" ca="1" si="85"/>
        <v/>
      </c>
      <c r="AW77" s="33" t="str">
        <f t="shared" ca="1" si="85"/>
        <v/>
      </c>
      <c r="AX77" s="33" t="str">
        <f t="shared" ca="1" si="85"/>
        <v/>
      </c>
      <c r="AY77" s="33" t="str">
        <f t="shared" ca="1" si="85"/>
        <v/>
      </c>
      <c r="AZ77" s="33" t="str">
        <f t="shared" ca="1" si="85"/>
        <v/>
      </c>
      <c r="BA77" s="33" t="str">
        <f t="shared" ca="1" si="85"/>
        <v/>
      </c>
      <c r="BB77" s="33" t="str">
        <f t="shared" ca="1" si="83"/>
        <v/>
      </c>
      <c r="BC77" s="33" t="str">
        <f t="shared" ca="1" si="83"/>
        <v/>
      </c>
      <c r="BD77" s="33" t="str">
        <f t="shared" ca="1" si="83"/>
        <v/>
      </c>
      <c r="BE77" s="33" t="str">
        <f t="shared" ca="1" si="83"/>
        <v/>
      </c>
      <c r="BF77" s="33" t="str">
        <f t="shared" ca="1" si="83"/>
        <v/>
      </c>
      <c r="BG77" s="33" t="str">
        <f t="shared" ca="1" si="83"/>
        <v/>
      </c>
      <c r="BH77" s="33" t="str">
        <f t="shared" ca="1" si="83"/>
        <v/>
      </c>
      <c r="BI77" s="33" t="str">
        <f t="shared" ca="1" si="83"/>
        <v/>
      </c>
      <c r="BJ77" s="33" t="str">
        <f t="shared" ca="1" si="83"/>
        <v/>
      </c>
      <c r="BK77" s="33" t="str">
        <f t="shared" ca="1" si="83"/>
        <v/>
      </c>
      <c r="BL77" s="33" t="str">
        <f t="shared" ca="1" si="83"/>
        <v/>
      </c>
      <c r="BM77" s="33" t="str">
        <f t="shared" ca="1" si="83"/>
        <v/>
      </c>
      <c r="BN77" s="33" t="str">
        <f t="shared" ca="1" si="83"/>
        <v/>
      </c>
      <c r="BO77" s="33" t="str">
        <f t="shared" ca="1" si="83"/>
        <v/>
      </c>
      <c r="BP77" s="33" t="str">
        <f t="shared" ca="1" si="11"/>
        <v/>
      </c>
      <c r="BQ77" s="78" t="str">
        <f t="shared" ca="1" si="12"/>
        <v/>
      </c>
      <c r="BR77" s="78" t="str">
        <f t="shared" ca="1" si="13"/>
        <v/>
      </c>
      <c r="BS77" s="78" t="str">
        <f t="shared" ca="1" si="14"/>
        <v/>
      </c>
      <c r="BT77" s="78" t="str">
        <f t="shared" ca="1" si="19"/>
        <v/>
      </c>
      <c r="BU77" s="78" t="str">
        <f t="shared" ca="1" si="15"/>
        <v/>
      </c>
      <c r="BV77" s="78" t="str">
        <f t="shared" ca="1" si="16"/>
        <v/>
      </c>
    </row>
    <row r="78" spans="1:74" ht="15.75" customHeight="1" x14ac:dyDescent="0.25">
      <c r="A78" s="71" t="str">
        <f ca="1">IFERROR(__xludf.DUMMYFUNCTION("IFERROR(INDEX(FILTER(T4.2026!$A$2:$A$1000, T4.2026!$A$2:$A$1000&lt;&gt;""""), ROWS($A$9:A78)), """")"),"")</f>
        <v/>
      </c>
      <c r="B78" s="72" t="str">
        <f t="array" aca="1" ref="B78" ca="1">IF($A78="","",IFERROR(_xlfn.XLOOKUP($A78,'T4.2026'!$A$2:$A$1000,'T4.2026'!$B$2:$B$1000),""))</f>
        <v/>
      </c>
      <c r="C78" s="71" t="str">
        <f t="array" aca="1" ref="C78" ca="1">IF($A78="","",IFERROR(_xlfn.XLOOKUP($A78,'T4.2026'!$A$2:$A$1000,'T4.2026'!$C$2:$C$1000),""))</f>
        <v/>
      </c>
      <c r="D78" s="73" t="str">
        <f t="array" aca="1" ref="D78" ca="1">IF($A78="","",ROUND(IFERROR(_xlfn.XLOOKUP($A78,'T4.2026'!$A$2:$A$1000,'T4.2026'!$D$2:$D$1000),0),0))</f>
        <v/>
      </c>
      <c r="E78" s="73" t="str">
        <f t="array" aca="1" ref="E78" ca="1">IF($A78="","",IFERROR(_xlfn.XLOOKUP($A78,'T4.2026'!$A$2:$A$1000,'T4.2026'!$E$2:$E$1000),0))</f>
        <v/>
      </c>
      <c r="F78" s="75" t="str">
        <f t="shared" ca="1" si="6"/>
        <v/>
      </c>
      <c r="G78" s="75" t="str">
        <f t="shared" ref="G78:AI78" ca="1" si="97">IF($A78="","",IF(G$8=0,"",IF(SUM($AL78:$BO78)=0,0,ROUND($BU78*SUM($AL78:AM78)/SUM($AL78:$BO78),0)-ROUND($BU78*SUM($AL78:AL78)/SUM($AL78:$BO78),0))))</f>
        <v/>
      </c>
      <c r="H78" s="75" t="str">
        <f t="shared" ca="1" si="97"/>
        <v/>
      </c>
      <c r="I78" s="75" t="str">
        <f t="shared" ca="1" si="97"/>
        <v/>
      </c>
      <c r="J78" s="75" t="str">
        <f t="shared" ca="1" si="97"/>
        <v/>
      </c>
      <c r="K78" s="75" t="str">
        <f t="shared" ca="1" si="97"/>
        <v/>
      </c>
      <c r="L78" s="75" t="str">
        <f t="shared" ca="1" si="97"/>
        <v/>
      </c>
      <c r="M78" s="75" t="str">
        <f t="shared" ca="1" si="97"/>
        <v/>
      </c>
      <c r="N78" s="75" t="str">
        <f t="shared" ca="1" si="97"/>
        <v/>
      </c>
      <c r="O78" s="75" t="str">
        <f t="shared" ca="1" si="97"/>
        <v/>
      </c>
      <c r="P78" s="75" t="str">
        <f t="shared" ca="1" si="97"/>
        <v/>
      </c>
      <c r="Q78" s="75" t="str">
        <f t="shared" ca="1" si="97"/>
        <v/>
      </c>
      <c r="R78" s="75" t="str">
        <f t="shared" ca="1" si="97"/>
        <v/>
      </c>
      <c r="S78" s="75" t="str">
        <f t="shared" ca="1" si="97"/>
        <v/>
      </c>
      <c r="T78" s="75" t="str">
        <f t="shared" ca="1" si="97"/>
        <v/>
      </c>
      <c r="U78" s="75" t="str">
        <f t="shared" ca="1" si="97"/>
        <v/>
      </c>
      <c r="V78" s="75" t="str">
        <f t="shared" ca="1" si="97"/>
        <v/>
      </c>
      <c r="W78" s="75" t="str">
        <f t="shared" ca="1" si="97"/>
        <v/>
      </c>
      <c r="X78" s="75" t="str">
        <f t="shared" ca="1" si="97"/>
        <v/>
      </c>
      <c r="Y78" s="75" t="str">
        <f t="shared" ca="1" si="97"/>
        <v/>
      </c>
      <c r="Z78" s="75" t="str">
        <f t="shared" ca="1" si="97"/>
        <v/>
      </c>
      <c r="AA78" s="75" t="str">
        <f t="shared" ca="1" si="97"/>
        <v/>
      </c>
      <c r="AB78" s="75" t="str">
        <f t="shared" ca="1" si="97"/>
        <v/>
      </c>
      <c r="AC78" s="75" t="str">
        <f t="shared" ca="1" si="97"/>
        <v/>
      </c>
      <c r="AD78" s="75" t="str">
        <f t="shared" ca="1" si="97"/>
        <v/>
      </c>
      <c r="AE78" s="75" t="str">
        <f t="shared" ca="1" si="97"/>
        <v/>
      </c>
      <c r="AF78" s="75" t="str">
        <f t="shared" ca="1" si="97"/>
        <v/>
      </c>
      <c r="AG78" s="75" t="str">
        <f t="shared" ca="1" si="97"/>
        <v/>
      </c>
      <c r="AH78" s="75" t="str">
        <f t="shared" ca="1" si="97"/>
        <v/>
      </c>
      <c r="AI78" s="75" t="str">
        <f t="shared" ca="1" si="97"/>
        <v/>
      </c>
      <c r="AJ78" s="76" t="str">
        <f t="shared" ca="1" si="8"/>
        <v/>
      </c>
      <c r="AK78" s="76" t="str">
        <f t="shared" ca="1" si="9"/>
        <v/>
      </c>
      <c r="AL78" s="33" t="str">
        <f t="shared" ca="1" si="85"/>
        <v/>
      </c>
      <c r="AM78" s="33" t="str">
        <f t="shared" ca="1" si="85"/>
        <v/>
      </c>
      <c r="AN78" s="33" t="str">
        <f t="shared" ca="1" si="85"/>
        <v/>
      </c>
      <c r="AO78" s="33" t="str">
        <f t="shared" ca="1" si="85"/>
        <v/>
      </c>
      <c r="AP78" s="33" t="str">
        <f t="shared" ca="1" si="85"/>
        <v/>
      </c>
      <c r="AQ78" s="33" t="str">
        <f t="shared" ca="1" si="85"/>
        <v/>
      </c>
      <c r="AR78" s="33" t="str">
        <f t="shared" ca="1" si="85"/>
        <v/>
      </c>
      <c r="AS78" s="33" t="str">
        <f t="shared" ca="1" si="85"/>
        <v/>
      </c>
      <c r="AT78" s="33" t="str">
        <f t="shared" ca="1" si="85"/>
        <v/>
      </c>
      <c r="AU78" s="33" t="str">
        <f t="shared" ca="1" si="85"/>
        <v/>
      </c>
      <c r="AV78" s="33" t="str">
        <f t="shared" ca="1" si="85"/>
        <v/>
      </c>
      <c r="AW78" s="33" t="str">
        <f t="shared" ca="1" si="85"/>
        <v/>
      </c>
      <c r="AX78" s="33" t="str">
        <f t="shared" ca="1" si="85"/>
        <v/>
      </c>
      <c r="AY78" s="33" t="str">
        <f t="shared" ca="1" si="85"/>
        <v/>
      </c>
      <c r="AZ78" s="33" t="str">
        <f t="shared" ca="1" si="85"/>
        <v/>
      </c>
      <c r="BA78" s="33" t="str">
        <f t="shared" ca="1" si="85"/>
        <v/>
      </c>
      <c r="BB78" s="33" t="str">
        <f t="shared" ca="1" si="83"/>
        <v/>
      </c>
      <c r="BC78" s="33" t="str">
        <f t="shared" ca="1" si="83"/>
        <v/>
      </c>
      <c r="BD78" s="33" t="str">
        <f t="shared" ca="1" si="83"/>
        <v/>
      </c>
      <c r="BE78" s="33" t="str">
        <f t="shared" ca="1" si="83"/>
        <v/>
      </c>
      <c r="BF78" s="33" t="str">
        <f t="shared" ca="1" si="83"/>
        <v/>
      </c>
      <c r="BG78" s="33" t="str">
        <f t="shared" ca="1" si="83"/>
        <v/>
      </c>
      <c r="BH78" s="33" t="str">
        <f t="shared" ca="1" si="83"/>
        <v/>
      </c>
      <c r="BI78" s="33" t="str">
        <f t="shared" ca="1" si="83"/>
        <v/>
      </c>
      <c r="BJ78" s="33" t="str">
        <f t="shared" ca="1" si="83"/>
        <v/>
      </c>
      <c r="BK78" s="33" t="str">
        <f t="shared" ca="1" si="83"/>
        <v/>
      </c>
      <c r="BL78" s="33" t="str">
        <f t="shared" ca="1" si="83"/>
        <v/>
      </c>
      <c r="BM78" s="33" t="str">
        <f t="shared" ca="1" si="83"/>
        <v/>
      </c>
      <c r="BN78" s="33" t="str">
        <f t="shared" ca="1" si="83"/>
        <v/>
      </c>
      <c r="BO78" s="33" t="str">
        <f t="shared" ca="1" si="83"/>
        <v/>
      </c>
      <c r="BP78" s="33" t="str">
        <f t="shared" ca="1" si="11"/>
        <v/>
      </c>
      <c r="BQ78" s="78" t="str">
        <f t="shared" ca="1" si="12"/>
        <v/>
      </c>
      <c r="BR78" s="78" t="str">
        <f t="shared" ca="1" si="13"/>
        <v/>
      </c>
      <c r="BS78" s="78" t="str">
        <f t="shared" ca="1" si="14"/>
        <v/>
      </c>
      <c r="BT78" s="78" t="str">
        <f t="shared" ca="1" si="19"/>
        <v/>
      </c>
      <c r="BU78" s="78" t="str">
        <f t="shared" ca="1" si="15"/>
        <v/>
      </c>
      <c r="BV78" s="78" t="str">
        <f t="shared" ca="1" si="16"/>
        <v/>
      </c>
    </row>
    <row r="79" spans="1:74" ht="15.75" customHeight="1" x14ac:dyDescent="0.25">
      <c r="A79" s="71" t="str">
        <f ca="1">IFERROR(__xludf.DUMMYFUNCTION("IFERROR(INDEX(FILTER(T4.2026!$A$2:$A$1000, T4.2026!$A$2:$A$1000&lt;&gt;""""), ROWS($A$9:A79)), """")"),"")</f>
        <v/>
      </c>
      <c r="B79" s="72" t="str">
        <f t="array" aca="1" ref="B79" ca="1">IF($A79="","",IFERROR(_xlfn.XLOOKUP($A79,'T4.2026'!$A$2:$A$1000,'T4.2026'!$B$2:$B$1000),""))</f>
        <v/>
      </c>
      <c r="C79" s="71" t="str">
        <f t="array" aca="1" ref="C79" ca="1">IF($A79="","",IFERROR(_xlfn.XLOOKUP($A79,'T4.2026'!$A$2:$A$1000,'T4.2026'!$C$2:$C$1000),""))</f>
        <v/>
      </c>
      <c r="D79" s="73" t="str">
        <f t="array" aca="1" ref="D79" ca="1">IF($A79="","",ROUND(IFERROR(_xlfn.XLOOKUP($A79,'T4.2026'!$A$2:$A$1000,'T4.2026'!$D$2:$D$1000),0),0))</f>
        <v/>
      </c>
      <c r="E79" s="73" t="str">
        <f t="array" aca="1" ref="E79" ca="1">IF($A79="","",IFERROR(_xlfn.XLOOKUP($A79,'T4.2026'!$A$2:$A$1000,'T4.2026'!$E$2:$E$1000),0))</f>
        <v/>
      </c>
      <c r="F79" s="75" t="str">
        <f t="shared" ca="1" si="6"/>
        <v/>
      </c>
      <c r="G79" s="75" t="str">
        <f t="shared" ref="G79:AI79" ca="1" si="98">IF($A79="","",IF(G$8=0,"",IF(SUM($AL79:$BO79)=0,0,ROUND($BU79*SUM($AL79:AM79)/SUM($AL79:$BO79),0)-ROUND($BU79*SUM($AL79:AL79)/SUM($AL79:$BO79),0))))</f>
        <v/>
      </c>
      <c r="H79" s="75" t="str">
        <f t="shared" ca="1" si="98"/>
        <v/>
      </c>
      <c r="I79" s="75" t="str">
        <f t="shared" ca="1" si="98"/>
        <v/>
      </c>
      <c r="J79" s="75" t="str">
        <f t="shared" ca="1" si="98"/>
        <v/>
      </c>
      <c r="K79" s="75" t="str">
        <f t="shared" ca="1" si="98"/>
        <v/>
      </c>
      <c r="L79" s="75" t="str">
        <f t="shared" ca="1" si="98"/>
        <v/>
      </c>
      <c r="M79" s="75" t="str">
        <f t="shared" ca="1" si="98"/>
        <v/>
      </c>
      <c r="N79" s="75" t="str">
        <f t="shared" ca="1" si="98"/>
        <v/>
      </c>
      <c r="O79" s="75" t="str">
        <f t="shared" ca="1" si="98"/>
        <v/>
      </c>
      <c r="P79" s="75" t="str">
        <f t="shared" ca="1" si="98"/>
        <v/>
      </c>
      <c r="Q79" s="75" t="str">
        <f t="shared" ca="1" si="98"/>
        <v/>
      </c>
      <c r="R79" s="75" t="str">
        <f t="shared" ca="1" si="98"/>
        <v/>
      </c>
      <c r="S79" s="75" t="str">
        <f t="shared" ca="1" si="98"/>
        <v/>
      </c>
      <c r="T79" s="75" t="str">
        <f t="shared" ca="1" si="98"/>
        <v/>
      </c>
      <c r="U79" s="75" t="str">
        <f t="shared" ca="1" si="98"/>
        <v/>
      </c>
      <c r="V79" s="75" t="str">
        <f t="shared" ca="1" si="98"/>
        <v/>
      </c>
      <c r="W79" s="75" t="str">
        <f t="shared" ca="1" si="98"/>
        <v/>
      </c>
      <c r="X79" s="75" t="str">
        <f t="shared" ca="1" si="98"/>
        <v/>
      </c>
      <c r="Y79" s="75" t="str">
        <f t="shared" ca="1" si="98"/>
        <v/>
      </c>
      <c r="Z79" s="75" t="str">
        <f t="shared" ca="1" si="98"/>
        <v/>
      </c>
      <c r="AA79" s="75" t="str">
        <f t="shared" ca="1" si="98"/>
        <v/>
      </c>
      <c r="AB79" s="75" t="str">
        <f t="shared" ca="1" si="98"/>
        <v/>
      </c>
      <c r="AC79" s="75" t="str">
        <f t="shared" ca="1" si="98"/>
        <v/>
      </c>
      <c r="AD79" s="75" t="str">
        <f t="shared" ca="1" si="98"/>
        <v/>
      </c>
      <c r="AE79" s="75" t="str">
        <f t="shared" ca="1" si="98"/>
        <v/>
      </c>
      <c r="AF79" s="75" t="str">
        <f t="shared" ca="1" si="98"/>
        <v/>
      </c>
      <c r="AG79" s="75" t="str">
        <f t="shared" ca="1" si="98"/>
        <v/>
      </c>
      <c r="AH79" s="75" t="str">
        <f t="shared" ca="1" si="98"/>
        <v/>
      </c>
      <c r="AI79" s="75" t="str">
        <f t="shared" ca="1" si="98"/>
        <v/>
      </c>
      <c r="AJ79" s="76" t="str">
        <f t="shared" ca="1" si="8"/>
        <v/>
      </c>
      <c r="AK79" s="76" t="str">
        <f t="shared" ca="1" si="9"/>
        <v/>
      </c>
      <c r="AL79" s="33" t="str">
        <f t="shared" ca="1" si="85"/>
        <v/>
      </c>
      <c r="AM79" s="33" t="str">
        <f t="shared" ca="1" si="85"/>
        <v/>
      </c>
      <c r="AN79" s="33" t="str">
        <f t="shared" ca="1" si="85"/>
        <v/>
      </c>
      <c r="AO79" s="33" t="str">
        <f t="shared" ca="1" si="85"/>
        <v/>
      </c>
      <c r="AP79" s="33" t="str">
        <f t="shared" ca="1" si="85"/>
        <v/>
      </c>
      <c r="AQ79" s="33" t="str">
        <f t="shared" ca="1" si="85"/>
        <v/>
      </c>
      <c r="AR79" s="33" t="str">
        <f t="shared" ca="1" si="85"/>
        <v/>
      </c>
      <c r="AS79" s="33" t="str">
        <f t="shared" ca="1" si="85"/>
        <v/>
      </c>
      <c r="AT79" s="33" t="str">
        <f t="shared" ca="1" si="85"/>
        <v/>
      </c>
      <c r="AU79" s="33" t="str">
        <f t="shared" ca="1" si="85"/>
        <v/>
      </c>
      <c r="AV79" s="33" t="str">
        <f t="shared" ca="1" si="85"/>
        <v/>
      </c>
      <c r="AW79" s="33" t="str">
        <f t="shared" ca="1" si="85"/>
        <v/>
      </c>
      <c r="AX79" s="33" t="str">
        <f t="shared" ca="1" si="85"/>
        <v/>
      </c>
      <c r="AY79" s="33" t="str">
        <f t="shared" ca="1" si="85"/>
        <v/>
      </c>
      <c r="AZ79" s="33" t="str">
        <f t="shared" ca="1" si="85"/>
        <v/>
      </c>
      <c r="BA79" s="33" t="str">
        <f t="shared" ca="1" si="85"/>
        <v/>
      </c>
      <c r="BB79" s="33" t="str">
        <f t="shared" ca="1" si="83"/>
        <v/>
      </c>
      <c r="BC79" s="33" t="str">
        <f t="shared" ca="1" si="83"/>
        <v/>
      </c>
      <c r="BD79" s="33" t="str">
        <f t="shared" ca="1" si="83"/>
        <v/>
      </c>
      <c r="BE79" s="33" t="str">
        <f t="shared" ca="1" si="83"/>
        <v/>
      </c>
      <c r="BF79" s="33" t="str">
        <f t="shared" ca="1" si="83"/>
        <v/>
      </c>
      <c r="BG79" s="33" t="str">
        <f t="shared" ca="1" si="83"/>
        <v/>
      </c>
      <c r="BH79" s="33" t="str">
        <f t="shared" ca="1" si="83"/>
        <v/>
      </c>
      <c r="BI79" s="33" t="str">
        <f t="shared" ca="1" si="83"/>
        <v/>
      </c>
      <c r="BJ79" s="33" t="str">
        <f t="shared" ca="1" si="83"/>
        <v/>
      </c>
      <c r="BK79" s="33" t="str">
        <f t="shared" ca="1" si="83"/>
        <v/>
      </c>
      <c r="BL79" s="33" t="str">
        <f t="shared" ca="1" si="83"/>
        <v/>
      </c>
      <c r="BM79" s="33" t="str">
        <f t="shared" ca="1" si="83"/>
        <v/>
      </c>
      <c r="BN79" s="33" t="str">
        <f t="shared" ca="1" si="83"/>
        <v/>
      </c>
      <c r="BO79" s="33" t="str">
        <f t="shared" ca="1" si="83"/>
        <v/>
      </c>
      <c r="BP79" s="33" t="str">
        <f t="shared" ca="1" si="11"/>
        <v/>
      </c>
      <c r="BQ79" s="78" t="str">
        <f t="shared" ca="1" si="12"/>
        <v/>
      </c>
      <c r="BR79" s="78" t="str">
        <f t="shared" ca="1" si="13"/>
        <v/>
      </c>
      <c r="BS79" s="78" t="str">
        <f t="shared" ca="1" si="14"/>
        <v/>
      </c>
      <c r="BT79" s="78" t="str">
        <f t="shared" ca="1" si="19"/>
        <v/>
      </c>
      <c r="BU79" s="78" t="str">
        <f t="shared" ca="1" si="15"/>
        <v/>
      </c>
      <c r="BV79" s="78" t="str">
        <f t="shared" ca="1" si="16"/>
        <v/>
      </c>
    </row>
    <row r="80" spans="1:74" ht="15.75" customHeight="1" x14ac:dyDescent="0.25">
      <c r="A80" s="71" t="str">
        <f ca="1">IFERROR(__xludf.DUMMYFUNCTION("IFERROR(INDEX(FILTER(T4.2026!$A$2:$A$1000, T4.2026!$A$2:$A$1000&lt;&gt;""""), ROWS($A$9:A80)), """")"),"")</f>
        <v/>
      </c>
      <c r="B80" s="72" t="str">
        <f t="array" aca="1" ref="B80" ca="1">IF($A80="","",IFERROR(_xlfn.XLOOKUP($A80,'T4.2026'!$A$2:$A$1000,'T4.2026'!$B$2:$B$1000),""))</f>
        <v/>
      </c>
      <c r="C80" s="71" t="str">
        <f t="array" aca="1" ref="C80" ca="1">IF($A80="","",IFERROR(_xlfn.XLOOKUP($A80,'T4.2026'!$A$2:$A$1000,'T4.2026'!$C$2:$C$1000),""))</f>
        <v/>
      </c>
      <c r="D80" s="73" t="str">
        <f t="array" aca="1" ref="D80" ca="1">IF($A80="","",ROUND(IFERROR(_xlfn.XLOOKUP($A80,'T4.2026'!$A$2:$A$1000,'T4.2026'!$D$2:$D$1000),0),0))</f>
        <v/>
      </c>
      <c r="E80" s="73" t="str">
        <f t="array" aca="1" ref="E80" ca="1">IF($A80="","",IFERROR(_xlfn.XLOOKUP($A80,'T4.2026'!$A$2:$A$1000,'T4.2026'!$E$2:$E$1000),0))</f>
        <v/>
      </c>
      <c r="F80" s="75" t="str">
        <f t="shared" ca="1" si="6"/>
        <v/>
      </c>
      <c r="G80" s="75" t="str">
        <f t="shared" ref="G80:AI80" ca="1" si="99">IF($A80="","",IF(G$8=0,"",IF(SUM($AL80:$BO80)=0,0,ROUND($BU80*SUM($AL80:AM80)/SUM($AL80:$BO80),0)-ROUND($BU80*SUM($AL80:AL80)/SUM($AL80:$BO80),0))))</f>
        <v/>
      </c>
      <c r="H80" s="75" t="str">
        <f t="shared" ca="1" si="99"/>
        <v/>
      </c>
      <c r="I80" s="75" t="str">
        <f t="shared" ca="1" si="99"/>
        <v/>
      </c>
      <c r="J80" s="75" t="str">
        <f t="shared" ca="1" si="99"/>
        <v/>
      </c>
      <c r="K80" s="75" t="str">
        <f t="shared" ca="1" si="99"/>
        <v/>
      </c>
      <c r="L80" s="75" t="str">
        <f t="shared" ca="1" si="99"/>
        <v/>
      </c>
      <c r="M80" s="75" t="str">
        <f t="shared" ca="1" si="99"/>
        <v/>
      </c>
      <c r="N80" s="75" t="str">
        <f t="shared" ca="1" si="99"/>
        <v/>
      </c>
      <c r="O80" s="75" t="str">
        <f t="shared" ca="1" si="99"/>
        <v/>
      </c>
      <c r="P80" s="75" t="str">
        <f t="shared" ca="1" si="99"/>
        <v/>
      </c>
      <c r="Q80" s="75" t="str">
        <f t="shared" ca="1" si="99"/>
        <v/>
      </c>
      <c r="R80" s="75" t="str">
        <f t="shared" ca="1" si="99"/>
        <v/>
      </c>
      <c r="S80" s="75" t="str">
        <f t="shared" ca="1" si="99"/>
        <v/>
      </c>
      <c r="T80" s="75" t="str">
        <f t="shared" ca="1" si="99"/>
        <v/>
      </c>
      <c r="U80" s="75" t="str">
        <f t="shared" ca="1" si="99"/>
        <v/>
      </c>
      <c r="V80" s="75" t="str">
        <f t="shared" ca="1" si="99"/>
        <v/>
      </c>
      <c r="W80" s="75" t="str">
        <f t="shared" ca="1" si="99"/>
        <v/>
      </c>
      <c r="X80" s="75" t="str">
        <f t="shared" ca="1" si="99"/>
        <v/>
      </c>
      <c r="Y80" s="75" t="str">
        <f t="shared" ca="1" si="99"/>
        <v/>
      </c>
      <c r="Z80" s="75" t="str">
        <f t="shared" ca="1" si="99"/>
        <v/>
      </c>
      <c r="AA80" s="75" t="str">
        <f t="shared" ca="1" si="99"/>
        <v/>
      </c>
      <c r="AB80" s="75" t="str">
        <f t="shared" ca="1" si="99"/>
        <v/>
      </c>
      <c r="AC80" s="75" t="str">
        <f t="shared" ca="1" si="99"/>
        <v/>
      </c>
      <c r="AD80" s="75" t="str">
        <f t="shared" ca="1" si="99"/>
        <v/>
      </c>
      <c r="AE80" s="75" t="str">
        <f t="shared" ca="1" si="99"/>
        <v/>
      </c>
      <c r="AF80" s="75" t="str">
        <f t="shared" ca="1" si="99"/>
        <v/>
      </c>
      <c r="AG80" s="75" t="str">
        <f t="shared" ca="1" si="99"/>
        <v/>
      </c>
      <c r="AH80" s="75" t="str">
        <f t="shared" ca="1" si="99"/>
        <v/>
      </c>
      <c r="AI80" s="75" t="str">
        <f t="shared" ca="1" si="99"/>
        <v/>
      </c>
      <c r="AJ80" s="76" t="str">
        <f t="shared" ca="1" si="8"/>
        <v/>
      </c>
      <c r="AK80" s="76" t="str">
        <f t="shared" ca="1" si="9"/>
        <v/>
      </c>
      <c r="AL80" s="33" t="str">
        <f t="shared" ca="1" si="85"/>
        <v/>
      </c>
      <c r="AM80" s="33" t="str">
        <f t="shared" ca="1" si="85"/>
        <v/>
      </c>
      <c r="AN80" s="33" t="str">
        <f t="shared" ca="1" si="85"/>
        <v/>
      </c>
      <c r="AO80" s="33" t="str">
        <f t="shared" ca="1" si="85"/>
        <v/>
      </c>
      <c r="AP80" s="33" t="str">
        <f t="shared" ca="1" si="85"/>
        <v/>
      </c>
      <c r="AQ80" s="33" t="str">
        <f t="shared" ca="1" si="85"/>
        <v/>
      </c>
      <c r="AR80" s="33" t="str">
        <f t="shared" ca="1" si="85"/>
        <v/>
      </c>
      <c r="AS80" s="33" t="str">
        <f t="shared" ca="1" si="85"/>
        <v/>
      </c>
      <c r="AT80" s="33" t="str">
        <f t="shared" ca="1" si="85"/>
        <v/>
      </c>
      <c r="AU80" s="33" t="str">
        <f t="shared" ca="1" si="85"/>
        <v/>
      </c>
      <c r="AV80" s="33" t="str">
        <f t="shared" ca="1" si="85"/>
        <v/>
      </c>
      <c r="AW80" s="33" t="str">
        <f t="shared" ca="1" si="85"/>
        <v/>
      </c>
      <c r="AX80" s="33" t="str">
        <f t="shared" ca="1" si="85"/>
        <v/>
      </c>
      <c r="AY80" s="33" t="str">
        <f t="shared" ca="1" si="85"/>
        <v/>
      </c>
      <c r="AZ80" s="33" t="str">
        <f t="shared" ca="1" si="85"/>
        <v/>
      </c>
      <c r="BA80" s="33" t="str">
        <f t="shared" ca="1" si="85"/>
        <v/>
      </c>
      <c r="BB80" s="33" t="str">
        <f t="shared" ca="1" si="83"/>
        <v/>
      </c>
      <c r="BC80" s="33" t="str">
        <f t="shared" ca="1" si="83"/>
        <v/>
      </c>
      <c r="BD80" s="33" t="str">
        <f t="shared" ca="1" si="83"/>
        <v/>
      </c>
      <c r="BE80" s="33" t="str">
        <f t="shared" ca="1" si="83"/>
        <v/>
      </c>
      <c r="BF80" s="33" t="str">
        <f t="shared" ca="1" si="83"/>
        <v/>
      </c>
      <c r="BG80" s="33" t="str">
        <f t="shared" ca="1" si="83"/>
        <v/>
      </c>
      <c r="BH80" s="33" t="str">
        <f t="shared" ca="1" si="83"/>
        <v/>
      </c>
      <c r="BI80" s="33" t="str">
        <f t="shared" ca="1" si="83"/>
        <v/>
      </c>
      <c r="BJ80" s="33" t="str">
        <f t="shared" ca="1" si="83"/>
        <v/>
      </c>
      <c r="BK80" s="33" t="str">
        <f t="shared" ca="1" si="83"/>
        <v/>
      </c>
      <c r="BL80" s="33" t="str">
        <f t="shared" ca="1" si="83"/>
        <v/>
      </c>
      <c r="BM80" s="33" t="str">
        <f t="shared" ca="1" si="83"/>
        <v/>
      </c>
      <c r="BN80" s="33" t="str">
        <f t="shared" ca="1" si="83"/>
        <v/>
      </c>
      <c r="BO80" s="33" t="str">
        <f t="shared" ca="1" si="83"/>
        <v/>
      </c>
      <c r="BP80" s="33" t="str">
        <f t="shared" ca="1" si="11"/>
        <v/>
      </c>
      <c r="BQ80" s="78" t="str">
        <f t="shared" ca="1" si="12"/>
        <v/>
      </c>
      <c r="BR80" s="78" t="str">
        <f t="shared" ca="1" si="13"/>
        <v/>
      </c>
      <c r="BS80" s="78" t="str">
        <f t="shared" ca="1" si="14"/>
        <v/>
      </c>
      <c r="BT80" s="78" t="str">
        <f t="shared" ca="1" si="19"/>
        <v/>
      </c>
      <c r="BU80" s="78" t="str">
        <f t="shared" ca="1" si="15"/>
        <v/>
      </c>
      <c r="BV80" s="78" t="str">
        <f t="shared" ca="1" si="16"/>
        <v/>
      </c>
    </row>
    <row r="81" spans="1:74" ht="15.75" customHeight="1" x14ac:dyDescent="0.25">
      <c r="A81" s="71" t="str">
        <f ca="1">IFERROR(__xludf.DUMMYFUNCTION("IFERROR(INDEX(FILTER(T4.2026!$A$2:$A$1000, T4.2026!$A$2:$A$1000&lt;&gt;""""), ROWS($A$9:A81)), """")"),"")</f>
        <v/>
      </c>
      <c r="B81" s="72" t="str">
        <f t="array" aca="1" ref="B81" ca="1">IF($A81="","",IFERROR(_xlfn.XLOOKUP($A81,'T4.2026'!$A$2:$A$1000,'T4.2026'!$B$2:$B$1000),""))</f>
        <v/>
      </c>
      <c r="C81" s="71" t="str">
        <f t="array" aca="1" ref="C81" ca="1">IF($A81="","",IFERROR(_xlfn.XLOOKUP($A81,'T4.2026'!$A$2:$A$1000,'T4.2026'!$C$2:$C$1000),""))</f>
        <v/>
      </c>
      <c r="D81" s="73" t="str">
        <f t="array" aca="1" ref="D81" ca="1">IF($A81="","",ROUND(IFERROR(_xlfn.XLOOKUP($A81,'T4.2026'!$A$2:$A$1000,'T4.2026'!$D$2:$D$1000),0),0))</f>
        <v/>
      </c>
      <c r="E81" s="73" t="str">
        <f t="array" aca="1" ref="E81" ca="1">IF($A81="","",IFERROR(_xlfn.XLOOKUP($A81,'T4.2026'!$A$2:$A$1000,'T4.2026'!$E$2:$E$1000),0))</f>
        <v/>
      </c>
      <c r="F81" s="75" t="str">
        <f t="shared" ca="1" si="6"/>
        <v/>
      </c>
      <c r="G81" s="75" t="str">
        <f t="shared" ref="G81:AI81" ca="1" si="100">IF($A81="","",IF(G$8=0,"",IF(SUM($AL81:$BO81)=0,0,ROUND($BU81*SUM($AL81:AM81)/SUM($AL81:$BO81),0)-ROUND($BU81*SUM($AL81:AL81)/SUM($AL81:$BO81),0))))</f>
        <v/>
      </c>
      <c r="H81" s="75" t="str">
        <f t="shared" ca="1" si="100"/>
        <v/>
      </c>
      <c r="I81" s="75" t="str">
        <f t="shared" ca="1" si="100"/>
        <v/>
      </c>
      <c r="J81" s="75" t="str">
        <f t="shared" ca="1" si="100"/>
        <v/>
      </c>
      <c r="K81" s="75" t="str">
        <f t="shared" ca="1" si="100"/>
        <v/>
      </c>
      <c r="L81" s="75" t="str">
        <f t="shared" ca="1" si="100"/>
        <v/>
      </c>
      <c r="M81" s="75" t="str">
        <f t="shared" ca="1" si="100"/>
        <v/>
      </c>
      <c r="N81" s="75" t="str">
        <f t="shared" ca="1" si="100"/>
        <v/>
      </c>
      <c r="O81" s="75" t="str">
        <f t="shared" ca="1" si="100"/>
        <v/>
      </c>
      <c r="P81" s="75" t="str">
        <f t="shared" ca="1" si="100"/>
        <v/>
      </c>
      <c r="Q81" s="75" t="str">
        <f t="shared" ca="1" si="100"/>
        <v/>
      </c>
      <c r="R81" s="75" t="str">
        <f t="shared" ca="1" si="100"/>
        <v/>
      </c>
      <c r="S81" s="75" t="str">
        <f t="shared" ca="1" si="100"/>
        <v/>
      </c>
      <c r="T81" s="75" t="str">
        <f t="shared" ca="1" si="100"/>
        <v/>
      </c>
      <c r="U81" s="75" t="str">
        <f t="shared" ca="1" si="100"/>
        <v/>
      </c>
      <c r="V81" s="75" t="str">
        <f t="shared" ca="1" si="100"/>
        <v/>
      </c>
      <c r="W81" s="75" t="str">
        <f t="shared" ca="1" si="100"/>
        <v/>
      </c>
      <c r="X81" s="75" t="str">
        <f t="shared" ca="1" si="100"/>
        <v/>
      </c>
      <c r="Y81" s="75" t="str">
        <f t="shared" ca="1" si="100"/>
        <v/>
      </c>
      <c r="Z81" s="75" t="str">
        <f t="shared" ca="1" si="100"/>
        <v/>
      </c>
      <c r="AA81" s="75" t="str">
        <f t="shared" ca="1" si="100"/>
        <v/>
      </c>
      <c r="AB81" s="75" t="str">
        <f t="shared" ca="1" si="100"/>
        <v/>
      </c>
      <c r="AC81" s="75" t="str">
        <f t="shared" ca="1" si="100"/>
        <v/>
      </c>
      <c r="AD81" s="75" t="str">
        <f t="shared" ca="1" si="100"/>
        <v/>
      </c>
      <c r="AE81" s="75" t="str">
        <f t="shared" ca="1" si="100"/>
        <v/>
      </c>
      <c r="AF81" s="75" t="str">
        <f t="shared" ca="1" si="100"/>
        <v/>
      </c>
      <c r="AG81" s="75" t="str">
        <f t="shared" ca="1" si="100"/>
        <v/>
      </c>
      <c r="AH81" s="75" t="str">
        <f t="shared" ca="1" si="100"/>
        <v/>
      </c>
      <c r="AI81" s="75" t="str">
        <f t="shared" ca="1" si="100"/>
        <v/>
      </c>
      <c r="AJ81" s="76" t="str">
        <f t="shared" ca="1" si="8"/>
        <v/>
      </c>
      <c r="AK81" s="76" t="str">
        <f t="shared" ca="1" si="9"/>
        <v/>
      </c>
      <c r="AL81" s="33" t="str">
        <f t="shared" ca="1" si="85"/>
        <v/>
      </c>
      <c r="AM81" s="33" t="str">
        <f t="shared" ca="1" si="85"/>
        <v/>
      </c>
      <c r="AN81" s="33" t="str">
        <f t="shared" ca="1" si="85"/>
        <v/>
      </c>
      <c r="AO81" s="33" t="str">
        <f t="shared" ca="1" si="85"/>
        <v/>
      </c>
      <c r="AP81" s="33" t="str">
        <f t="shared" ca="1" si="85"/>
        <v/>
      </c>
      <c r="AQ81" s="33" t="str">
        <f t="shared" ca="1" si="85"/>
        <v/>
      </c>
      <c r="AR81" s="33" t="str">
        <f t="shared" ca="1" si="85"/>
        <v/>
      </c>
      <c r="AS81" s="33" t="str">
        <f t="shared" ca="1" si="85"/>
        <v/>
      </c>
      <c r="AT81" s="33" t="str">
        <f t="shared" ca="1" si="85"/>
        <v/>
      </c>
      <c r="AU81" s="33" t="str">
        <f t="shared" ca="1" si="85"/>
        <v/>
      </c>
      <c r="AV81" s="33" t="str">
        <f t="shared" ca="1" si="85"/>
        <v/>
      </c>
      <c r="AW81" s="33" t="str">
        <f t="shared" ca="1" si="85"/>
        <v/>
      </c>
      <c r="AX81" s="33" t="str">
        <f t="shared" ca="1" si="85"/>
        <v/>
      </c>
      <c r="AY81" s="33" t="str">
        <f t="shared" ca="1" si="85"/>
        <v/>
      </c>
      <c r="AZ81" s="33" t="str">
        <f t="shared" ca="1" si="85"/>
        <v/>
      </c>
      <c r="BA81" s="33" t="str">
        <f t="shared" ref="BA81:BO83" ca="1" si="101">IF($A81="","",IF((COLUMN()-COLUMN($AL$9))&gt;($B$3-1),0,MAX(0.1,1+$D$3*(0.6*(2*MOD(ABS(SIN((COLUMN()-COLUMN($AL$9)+1)*12.9898+$B$2*0.0001))*43758.5453,1)-1)+0.4*SIN(($BV81+COLUMN()-COLUMN($AL$9))*2*PI()/7)))))</f>
        <v/>
      </c>
      <c r="BB81" s="33" t="str">
        <f t="shared" ca="1" si="101"/>
        <v/>
      </c>
      <c r="BC81" s="33" t="str">
        <f t="shared" ca="1" si="101"/>
        <v/>
      </c>
      <c r="BD81" s="33" t="str">
        <f t="shared" ca="1" si="101"/>
        <v/>
      </c>
      <c r="BE81" s="33" t="str">
        <f t="shared" ca="1" si="101"/>
        <v/>
      </c>
      <c r="BF81" s="33" t="str">
        <f t="shared" ca="1" si="101"/>
        <v/>
      </c>
      <c r="BG81" s="33" t="str">
        <f t="shared" ca="1" si="101"/>
        <v/>
      </c>
      <c r="BH81" s="33" t="str">
        <f t="shared" ca="1" si="101"/>
        <v/>
      </c>
      <c r="BI81" s="33" t="str">
        <f t="shared" ca="1" si="101"/>
        <v/>
      </c>
      <c r="BJ81" s="33" t="str">
        <f t="shared" ca="1" si="101"/>
        <v/>
      </c>
      <c r="BK81" s="33" t="str">
        <f t="shared" ca="1" si="101"/>
        <v/>
      </c>
      <c r="BL81" s="33" t="str">
        <f t="shared" ca="1" si="101"/>
        <v/>
      </c>
      <c r="BM81" s="33" t="str">
        <f t="shared" ca="1" si="101"/>
        <v/>
      </c>
      <c r="BN81" s="33" t="str">
        <f t="shared" ca="1" si="101"/>
        <v/>
      </c>
      <c r="BO81" s="33" t="str">
        <f t="shared" ca="1" si="101"/>
        <v/>
      </c>
      <c r="BP81" s="33" t="str">
        <f t="shared" ca="1" si="11"/>
        <v/>
      </c>
      <c r="BQ81" s="78" t="str">
        <f t="shared" ca="1" si="12"/>
        <v/>
      </c>
      <c r="BR81" s="78" t="str">
        <f t="shared" ca="1" si="13"/>
        <v/>
      </c>
      <c r="BS81" s="78" t="str">
        <f t="shared" ca="1" si="14"/>
        <v/>
      </c>
      <c r="BT81" s="78" t="str">
        <f t="shared" ca="1" si="19"/>
        <v/>
      </c>
      <c r="BU81" s="78" t="str">
        <f t="shared" ca="1" si="15"/>
        <v/>
      </c>
      <c r="BV81" s="78" t="str">
        <f t="shared" ca="1" si="16"/>
        <v/>
      </c>
    </row>
    <row r="82" spans="1:74" ht="15.75" customHeight="1" x14ac:dyDescent="0.25">
      <c r="A82" s="71" t="str">
        <f ca="1">IFERROR(__xludf.DUMMYFUNCTION("IFERROR(INDEX(FILTER(T4.2026!$A$2:$A$1000, T4.2026!$A$2:$A$1000&lt;&gt;""""), ROWS($A$9:A82)), """")"),"")</f>
        <v/>
      </c>
      <c r="B82" s="72" t="str">
        <f t="array" aca="1" ref="B82" ca="1">IF($A82="","",IFERROR(_xlfn.XLOOKUP($A82,'T4.2026'!$A$2:$A$1000,'T4.2026'!$B$2:$B$1000),""))</f>
        <v/>
      </c>
      <c r="C82" s="71" t="str">
        <f t="array" aca="1" ref="C82" ca="1">IF($A82="","",IFERROR(_xlfn.XLOOKUP($A82,'T4.2026'!$A$2:$A$1000,'T4.2026'!$C$2:$C$1000),""))</f>
        <v/>
      </c>
      <c r="D82" s="73" t="str">
        <f t="array" aca="1" ref="D82" ca="1">IF($A82="","",ROUND(IFERROR(_xlfn.XLOOKUP($A82,'T4.2026'!$A$2:$A$1000,'T4.2026'!$D$2:$D$1000),0),0))</f>
        <v/>
      </c>
      <c r="E82" s="73" t="str">
        <f t="array" aca="1" ref="E82" ca="1">IF($A82="","",IFERROR(_xlfn.XLOOKUP($A82,'T4.2026'!$A$2:$A$1000,'T4.2026'!$E$2:$E$1000),0))</f>
        <v/>
      </c>
      <c r="F82" s="75" t="str">
        <f t="shared" ca="1" si="6"/>
        <v/>
      </c>
      <c r="G82" s="75" t="str">
        <f t="shared" ref="G82:AI82" ca="1" si="102">IF($A82="","",IF(G$8=0,"",IF(SUM($AL82:$BO82)=0,0,ROUND($BU82*SUM($AL82:AM82)/SUM($AL82:$BO82),0)-ROUND($BU82*SUM($AL82:AL82)/SUM($AL82:$BO82),0))))</f>
        <v/>
      </c>
      <c r="H82" s="75" t="str">
        <f t="shared" ca="1" si="102"/>
        <v/>
      </c>
      <c r="I82" s="75" t="str">
        <f t="shared" ca="1" si="102"/>
        <v/>
      </c>
      <c r="J82" s="75" t="str">
        <f t="shared" ca="1" si="102"/>
        <v/>
      </c>
      <c r="K82" s="75" t="str">
        <f t="shared" ca="1" si="102"/>
        <v/>
      </c>
      <c r="L82" s="75" t="str">
        <f t="shared" ca="1" si="102"/>
        <v/>
      </c>
      <c r="M82" s="75" t="str">
        <f t="shared" ca="1" si="102"/>
        <v/>
      </c>
      <c r="N82" s="75" t="str">
        <f t="shared" ca="1" si="102"/>
        <v/>
      </c>
      <c r="O82" s="75" t="str">
        <f t="shared" ca="1" si="102"/>
        <v/>
      </c>
      <c r="P82" s="75" t="str">
        <f t="shared" ca="1" si="102"/>
        <v/>
      </c>
      <c r="Q82" s="75" t="str">
        <f t="shared" ca="1" si="102"/>
        <v/>
      </c>
      <c r="R82" s="75" t="str">
        <f t="shared" ca="1" si="102"/>
        <v/>
      </c>
      <c r="S82" s="75" t="str">
        <f t="shared" ca="1" si="102"/>
        <v/>
      </c>
      <c r="T82" s="75" t="str">
        <f t="shared" ca="1" si="102"/>
        <v/>
      </c>
      <c r="U82" s="75" t="str">
        <f t="shared" ca="1" si="102"/>
        <v/>
      </c>
      <c r="V82" s="75" t="str">
        <f t="shared" ca="1" si="102"/>
        <v/>
      </c>
      <c r="W82" s="75" t="str">
        <f t="shared" ca="1" si="102"/>
        <v/>
      </c>
      <c r="X82" s="75" t="str">
        <f t="shared" ca="1" si="102"/>
        <v/>
      </c>
      <c r="Y82" s="75" t="str">
        <f t="shared" ca="1" si="102"/>
        <v/>
      </c>
      <c r="Z82" s="75" t="str">
        <f t="shared" ca="1" si="102"/>
        <v/>
      </c>
      <c r="AA82" s="75" t="str">
        <f t="shared" ca="1" si="102"/>
        <v/>
      </c>
      <c r="AB82" s="75" t="str">
        <f t="shared" ca="1" si="102"/>
        <v/>
      </c>
      <c r="AC82" s="75" t="str">
        <f t="shared" ca="1" si="102"/>
        <v/>
      </c>
      <c r="AD82" s="75" t="str">
        <f t="shared" ca="1" si="102"/>
        <v/>
      </c>
      <c r="AE82" s="75" t="str">
        <f t="shared" ca="1" si="102"/>
        <v/>
      </c>
      <c r="AF82" s="75" t="str">
        <f t="shared" ca="1" si="102"/>
        <v/>
      </c>
      <c r="AG82" s="75" t="str">
        <f t="shared" ca="1" si="102"/>
        <v/>
      </c>
      <c r="AH82" s="75" t="str">
        <f t="shared" ca="1" si="102"/>
        <v/>
      </c>
      <c r="AI82" s="75" t="str">
        <f t="shared" ca="1" si="102"/>
        <v/>
      </c>
      <c r="AJ82" s="76" t="str">
        <f t="shared" ca="1" si="8"/>
        <v/>
      </c>
      <c r="AK82" s="76" t="str">
        <f t="shared" ca="1" si="9"/>
        <v/>
      </c>
      <c r="AL82" s="33" t="str">
        <f t="shared" ref="AL82:BA83" ca="1" si="103">IF($A82="","",IF((COLUMN()-COLUMN($AL$9))&gt;($B$3-1),0,MAX(0.1,1+$D$3*(0.6*(2*MOD(ABS(SIN((COLUMN()-COLUMN($AL$9)+1)*12.9898+$B$2*0.0001))*43758.5453,1)-1)+0.4*SIN(($BV82+COLUMN()-COLUMN($AL$9))*2*PI()/7)))))</f>
        <v/>
      </c>
      <c r="AM82" s="33" t="str">
        <f t="shared" ca="1" si="103"/>
        <v/>
      </c>
      <c r="AN82" s="33" t="str">
        <f t="shared" ca="1" si="103"/>
        <v/>
      </c>
      <c r="AO82" s="33" t="str">
        <f t="shared" ca="1" si="103"/>
        <v/>
      </c>
      <c r="AP82" s="33" t="str">
        <f t="shared" ca="1" si="103"/>
        <v/>
      </c>
      <c r="AQ82" s="33" t="str">
        <f t="shared" ca="1" si="103"/>
        <v/>
      </c>
      <c r="AR82" s="33" t="str">
        <f t="shared" ca="1" si="103"/>
        <v/>
      </c>
      <c r="AS82" s="33" t="str">
        <f t="shared" ca="1" si="103"/>
        <v/>
      </c>
      <c r="AT82" s="33" t="str">
        <f t="shared" ca="1" si="103"/>
        <v/>
      </c>
      <c r="AU82" s="33" t="str">
        <f t="shared" ca="1" si="103"/>
        <v/>
      </c>
      <c r="AV82" s="33" t="str">
        <f t="shared" ca="1" si="103"/>
        <v/>
      </c>
      <c r="AW82" s="33" t="str">
        <f t="shared" ca="1" si="103"/>
        <v/>
      </c>
      <c r="AX82" s="33" t="str">
        <f t="shared" ca="1" si="103"/>
        <v/>
      </c>
      <c r="AY82" s="33" t="str">
        <f t="shared" ca="1" si="103"/>
        <v/>
      </c>
      <c r="AZ82" s="33" t="str">
        <f t="shared" ca="1" si="103"/>
        <v/>
      </c>
      <c r="BA82" s="33" t="str">
        <f t="shared" ca="1" si="103"/>
        <v/>
      </c>
      <c r="BB82" s="33" t="str">
        <f t="shared" ca="1" si="101"/>
        <v/>
      </c>
      <c r="BC82" s="33" t="str">
        <f t="shared" ca="1" si="101"/>
        <v/>
      </c>
      <c r="BD82" s="33" t="str">
        <f t="shared" ca="1" si="101"/>
        <v/>
      </c>
      <c r="BE82" s="33" t="str">
        <f t="shared" ca="1" si="101"/>
        <v/>
      </c>
      <c r="BF82" s="33" t="str">
        <f t="shared" ca="1" si="101"/>
        <v/>
      </c>
      <c r="BG82" s="33" t="str">
        <f t="shared" ca="1" si="101"/>
        <v/>
      </c>
      <c r="BH82" s="33" t="str">
        <f t="shared" ca="1" si="101"/>
        <v/>
      </c>
      <c r="BI82" s="33" t="str">
        <f t="shared" ca="1" si="101"/>
        <v/>
      </c>
      <c r="BJ82" s="33" t="str">
        <f t="shared" ca="1" si="101"/>
        <v/>
      </c>
      <c r="BK82" s="33" t="str">
        <f t="shared" ca="1" si="101"/>
        <v/>
      </c>
      <c r="BL82" s="33" t="str">
        <f t="shared" ca="1" si="101"/>
        <v/>
      </c>
      <c r="BM82" s="33" t="str">
        <f t="shared" ca="1" si="101"/>
        <v/>
      </c>
      <c r="BN82" s="33" t="str">
        <f t="shared" ca="1" si="101"/>
        <v/>
      </c>
      <c r="BO82" s="33" t="str">
        <f t="shared" ca="1" si="101"/>
        <v/>
      </c>
      <c r="BP82" s="33" t="str">
        <f t="shared" ca="1" si="11"/>
        <v/>
      </c>
      <c r="BQ82" s="78" t="str">
        <f t="shared" ca="1" si="12"/>
        <v/>
      </c>
      <c r="BR82" s="78" t="str">
        <f t="shared" ca="1" si="13"/>
        <v/>
      </c>
      <c r="BS82" s="78" t="str">
        <f t="shared" ca="1" si="14"/>
        <v/>
      </c>
      <c r="BT82" s="78" t="str">
        <f t="shared" ca="1" si="19"/>
        <v/>
      </c>
      <c r="BU82" s="78" t="str">
        <f t="shared" ca="1" si="15"/>
        <v/>
      </c>
      <c r="BV82" s="78" t="str">
        <f t="shared" ca="1" si="16"/>
        <v/>
      </c>
    </row>
    <row r="83" spans="1:74" ht="29.25" customHeight="1" x14ac:dyDescent="0.25">
      <c r="A83" s="71"/>
      <c r="B83" s="71"/>
      <c r="C83" s="71"/>
      <c r="D83" s="71"/>
      <c r="E83" s="71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80"/>
      <c r="AK83" s="81"/>
      <c r="AL83" s="33" t="str">
        <f t="shared" si="103"/>
        <v/>
      </c>
      <c r="AM83" s="33" t="str">
        <f t="shared" si="103"/>
        <v/>
      </c>
      <c r="AN83" s="33" t="str">
        <f t="shared" si="103"/>
        <v/>
      </c>
      <c r="AO83" s="33" t="str">
        <f t="shared" si="103"/>
        <v/>
      </c>
      <c r="AP83" s="33" t="str">
        <f t="shared" si="103"/>
        <v/>
      </c>
      <c r="AQ83" s="33" t="str">
        <f t="shared" si="103"/>
        <v/>
      </c>
      <c r="AR83" s="33" t="str">
        <f t="shared" si="103"/>
        <v/>
      </c>
      <c r="AS83" s="33" t="str">
        <f t="shared" si="103"/>
        <v/>
      </c>
      <c r="AT83" s="33" t="str">
        <f t="shared" si="103"/>
        <v/>
      </c>
      <c r="AU83" s="33" t="str">
        <f t="shared" si="103"/>
        <v/>
      </c>
      <c r="AV83" s="33" t="str">
        <f t="shared" si="103"/>
        <v/>
      </c>
      <c r="AW83" s="33" t="str">
        <f t="shared" si="103"/>
        <v/>
      </c>
      <c r="AX83" s="33" t="str">
        <f t="shared" si="103"/>
        <v/>
      </c>
      <c r="AY83" s="33" t="str">
        <f t="shared" si="103"/>
        <v/>
      </c>
      <c r="AZ83" s="33" t="str">
        <f t="shared" si="103"/>
        <v/>
      </c>
      <c r="BA83" s="33" t="str">
        <f t="shared" si="103"/>
        <v/>
      </c>
      <c r="BB83" s="33" t="str">
        <f t="shared" si="101"/>
        <v/>
      </c>
      <c r="BC83" s="33" t="str">
        <f t="shared" si="101"/>
        <v/>
      </c>
      <c r="BD83" s="33" t="str">
        <f t="shared" si="101"/>
        <v/>
      </c>
      <c r="BE83" s="33" t="str">
        <f t="shared" si="101"/>
        <v/>
      </c>
      <c r="BF83" s="33" t="str">
        <f t="shared" si="101"/>
        <v/>
      </c>
      <c r="BG83" s="33" t="str">
        <f t="shared" si="101"/>
        <v/>
      </c>
      <c r="BH83" s="33" t="str">
        <f t="shared" si="101"/>
        <v/>
      </c>
      <c r="BI83" s="33" t="str">
        <f t="shared" si="101"/>
        <v/>
      </c>
      <c r="BJ83" s="33" t="str">
        <f t="shared" si="101"/>
        <v/>
      </c>
      <c r="BK83" s="33" t="str">
        <f t="shared" si="101"/>
        <v/>
      </c>
      <c r="BL83" s="33" t="str">
        <f t="shared" si="101"/>
        <v/>
      </c>
      <c r="BM83" s="33" t="str">
        <f t="shared" si="101"/>
        <v/>
      </c>
      <c r="BN83" s="33" t="str">
        <f t="shared" si="101"/>
        <v/>
      </c>
      <c r="BO83" s="33" t="str">
        <f t="shared" si="101"/>
        <v/>
      </c>
    </row>
    <row r="84" spans="1:74" ht="19.5" customHeight="1" x14ac:dyDescent="0.25">
      <c r="A84" s="104" t="s">
        <v>193</v>
      </c>
      <c r="B84" s="105"/>
      <c r="C84" s="105"/>
      <c r="D84" s="105"/>
      <c r="E84" s="99"/>
      <c r="F84" s="82">
        <f t="shared" ref="F84:AI84" ca="1" si="104">IF(F$8=0,0,COUNTIF(F$9:F$82,"&gt;0"))</f>
        <v>14</v>
      </c>
      <c r="G84" s="82">
        <f t="shared" ca="1" si="104"/>
        <v>13</v>
      </c>
      <c r="H84" s="82">
        <f t="shared" ca="1" si="104"/>
        <v>13</v>
      </c>
      <c r="I84" s="82">
        <f t="shared" ca="1" si="104"/>
        <v>13</v>
      </c>
      <c r="J84" s="82">
        <f t="shared" ca="1" si="104"/>
        <v>14</v>
      </c>
      <c r="K84" s="82">
        <f t="shared" si="104"/>
        <v>0</v>
      </c>
      <c r="L84" s="82">
        <f t="shared" si="104"/>
        <v>0</v>
      </c>
      <c r="M84" s="82">
        <f t="shared" si="104"/>
        <v>0</v>
      </c>
      <c r="N84" s="82">
        <f t="shared" si="104"/>
        <v>0</v>
      </c>
      <c r="O84" s="82">
        <f t="shared" si="104"/>
        <v>0</v>
      </c>
      <c r="P84" s="82">
        <f t="shared" si="104"/>
        <v>0</v>
      </c>
      <c r="Q84" s="82">
        <f t="shared" si="104"/>
        <v>0</v>
      </c>
      <c r="R84" s="82">
        <f t="shared" si="104"/>
        <v>0</v>
      </c>
      <c r="S84" s="82">
        <f t="shared" si="104"/>
        <v>0</v>
      </c>
      <c r="T84" s="82">
        <f t="shared" si="104"/>
        <v>0</v>
      </c>
      <c r="U84" s="82">
        <f t="shared" si="104"/>
        <v>0</v>
      </c>
      <c r="V84" s="82">
        <f t="shared" si="104"/>
        <v>0</v>
      </c>
      <c r="W84" s="82">
        <f t="shared" si="104"/>
        <v>0</v>
      </c>
      <c r="X84" s="82">
        <f t="shared" si="104"/>
        <v>0</v>
      </c>
      <c r="Y84" s="82">
        <f t="shared" si="104"/>
        <v>0</v>
      </c>
      <c r="Z84" s="82">
        <f t="shared" si="104"/>
        <v>0</v>
      </c>
      <c r="AA84" s="82">
        <f t="shared" si="104"/>
        <v>0</v>
      </c>
      <c r="AB84" s="82">
        <f t="shared" si="104"/>
        <v>0</v>
      </c>
      <c r="AC84" s="82">
        <f t="shared" si="104"/>
        <v>0</v>
      </c>
      <c r="AD84" s="82">
        <f t="shared" si="104"/>
        <v>0</v>
      </c>
      <c r="AE84" s="82">
        <f t="shared" si="104"/>
        <v>0</v>
      </c>
      <c r="AF84" s="82">
        <f t="shared" si="104"/>
        <v>0</v>
      </c>
      <c r="AG84" s="82">
        <f t="shared" si="104"/>
        <v>0</v>
      </c>
      <c r="AH84" s="82">
        <f t="shared" si="104"/>
        <v>0</v>
      </c>
      <c r="AI84" s="82">
        <f t="shared" si="104"/>
        <v>0</v>
      </c>
      <c r="AJ84" s="106" t="s">
        <v>229</v>
      </c>
      <c r="AK84" s="99"/>
    </row>
    <row r="85" spans="1:74" ht="19.5" customHeight="1" x14ac:dyDescent="0.25">
      <c r="A85" s="104" t="s">
        <v>211</v>
      </c>
      <c r="B85" s="105"/>
      <c r="C85" s="105"/>
      <c r="D85" s="105"/>
      <c r="E85" s="99"/>
      <c r="F85" s="82">
        <f t="shared" ref="F85:AI85" ca="1" si="105">IF(F$8=0,0,SUM(F$9:F$82))</f>
        <v>599</v>
      </c>
      <c r="G85" s="82">
        <f t="shared" ca="1" si="105"/>
        <v>598</v>
      </c>
      <c r="H85" s="82">
        <f t="shared" ca="1" si="105"/>
        <v>596</v>
      </c>
      <c r="I85" s="82">
        <f t="shared" ca="1" si="105"/>
        <v>595</v>
      </c>
      <c r="J85" s="82">
        <f t="shared" ca="1" si="105"/>
        <v>594</v>
      </c>
      <c r="K85" s="82">
        <f t="shared" si="105"/>
        <v>0</v>
      </c>
      <c r="L85" s="82">
        <f t="shared" si="105"/>
        <v>0</v>
      </c>
      <c r="M85" s="82">
        <f t="shared" si="105"/>
        <v>0</v>
      </c>
      <c r="N85" s="82">
        <f t="shared" si="105"/>
        <v>0</v>
      </c>
      <c r="O85" s="82">
        <f t="shared" si="105"/>
        <v>0</v>
      </c>
      <c r="P85" s="82">
        <f t="shared" si="105"/>
        <v>0</v>
      </c>
      <c r="Q85" s="82">
        <f t="shared" si="105"/>
        <v>0</v>
      </c>
      <c r="R85" s="82">
        <f t="shared" si="105"/>
        <v>0</v>
      </c>
      <c r="S85" s="82">
        <f t="shared" si="105"/>
        <v>0</v>
      </c>
      <c r="T85" s="82">
        <f t="shared" si="105"/>
        <v>0</v>
      </c>
      <c r="U85" s="82">
        <f t="shared" si="105"/>
        <v>0</v>
      </c>
      <c r="V85" s="82">
        <f t="shared" si="105"/>
        <v>0</v>
      </c>
      <c r="W85" s="82">
        <f t="shared" si="105"/>
        <v>0</v>
      </c>
      <c r="X85" s="82">
        <f t="shared" si="105"/>
        <v>0</v>
      </c>
      <c r="Y85" s="82">
        <f t="shared" si="105"/>
        <v>0</v>
      </c>
      <c r="Z85" s="82">
        <f t="shared" si="105"/>
        <v>0</v>
      </c>
      <c r="AA85" s="82">
        <f t="shared" si="105"/>
        <v>0</v>
      </c>
      <c r="AB85" s="82">
        <f t="shared" si="105"/>
        <v>0</v>
      </c>
      <c r="AC85" s="82">
        <f t="shared" si="105"/>
        <v>0</v>
      </c>
      <c r="AD85" s="82">
        <f t="shared" si="105"/>
        <v>0</v>
      </c>
      <c r="AE85" s="82">
        <f t="shared" si="105"/>
        <v>0</v>
      </c>
      <c r="AF85" s="82">
        <f t="shared" si="105"/>
        <v>0</v>
      </c>
      <c r="AG85" s="82">
        <f t="shared" si="105"/>
        <v>0</v>
      </c>
      <c r="AH85" s="82">
        <f t="shared" si="105"/>
        <v>0</v>
      </c>
      <c r="AI85" s="82">
        <f t="shared" si="105"/>
        <v>0</v>
      </c>
      <c r="AJ85" s="106">
        <f t="shared" ref="AJ85:AJ86" ca="1" si="106">SUM(F85:AI85)</f>
        <v>2982</v>
      </c>
      <c r="AK85" s="99"/>
    </row>
    <row r="86" spans="1:74" ht="19.5" customHeight="1" x14ac:dyDescent="0.25">
      <c r="A86" s="107" t="s">
        <v>212</v>
      </c>
      <c r="B86" s="105"/>
      <c r="C86" s="105"/>
      <c r="D86" s="105"/>
      <c r="E86" s="99"/>
      <c r="F86" s="83">
        <f t="shared" ref="F86:AI86" ca="1" si="107">IF(F$8=0,0,IFERROR(SUMPRODUCT(F$9:F$82,$D$9:$D$82),0))</f>
        <v>2226118</v>
      </c>
      <c r="G86" s="83">
        <f t="shared" ca="1" si="107"/>
        <v>2198669</v>
      </c>
      <c r="H86" s="83">
        <f t="shared" ca="1" si="107"/>
        <v>2163150</v>
      </c>
      <c r="I86" s="83">
        <f t="shared" ca="1" si="107"/>
        <v>2192892</v>
      </c>
      <c r="J86" s="83">
        <f t="shared" ca="1" si="107"/>
        <v>2218967</v>
      </c>
      <c r="K86" s="83">
        <f t="shared" si="107"/>
        <v>0</v>
      </c>
      <c r="L86" s="83">
        <f>IF(L$8=0,0,IFERROR(SUMPRODUCT(L$9:L$82,$D$9:$D$82),0))</f>
        <v>0</v>
      </c>
      <c r="M86" s="83">
        <f t="shared" si="107"/>
        <v>0</v>
      </c>
      <c r="N86" s="83">
        <f t="shared" si="107"/>
        <v>0</v>
      </c>
      <c r="O86" s="83">
        <f t="shared" si="107"/>
        <v>0</v>
      </c>
      <c r="P86" s="83">
        <f t="shared" si="107"/>
        <v>0</v>
      </c>
      <c r="Q86" s="83">
        <f t="shared" si="107"/>
        <v>0</v>
      </c>
      <c r="R86" s="83">
        <f t="shared" si="107"/>
        <v>0</v>
      </c>
      <c r="S86" s="83">
        <f t="shared" si="107"/>
        <v>0</v>
      </c>
      <c r="T86" s="83">
        <f t="shared" si="107"/>
        <v>0</v>
      </c>
      <c r="U86" s="83">
        <f t="shared" si="107"/>
        <v>0</v>
      </c>
      <c r="V86" s="83">
        <f t="shared" si="107"/>
        <v>0</v>
      </c>
      <c r="W86" s="83">
        <f t="shared" si="107"/>
        <v>0</v>
      </c>
      <c r="X86" s="83">
        <f t="shared" si="107"/>
        <v>0</v>
      </c>
      <c r="Y86" s="83">
        <f t="shared" si="107"/>
        <v>0</v>
      </c>
      <c r="Z86" s="83">
        <f t="shared" si="107"/>
        <v>0</v>
      </c>
      <c r="AA86" s="83">
        <f t="shared" si="107"/>
        <v>0</v>
      </c>
      <c r="AB86" s="83">
        <f t="shared" si="107"/>
        <v>0</v>
      </c>
      <c r="AC86" s="83">
        <f t="shared" si="107"/>
        <v>0</v>
      </c>
      <c r="AD86" s="83">
        <f t="shared" si="107"/>
        <v>0</v>
      </c>
      <c r="AE86" s="83">
        <f t="shared" si="107"/>
        <v>0</v>
      </c>
      <c r="AF86" s="83">
        <f t="shared" si="107"/>
        <v>0</v>
      </c>
      <c r="AG86" s="83">
        <f t="shared" si="107"/>
        <v>0</v>
      </c>
      <c r="AH86" s="83">
        <f t="shared" si="107"/>
        <v>0</v>
      </c>
      <c r="AI86" s="83">
        <f t="shared" si="107"/>
        <v>0</v>
      </c>
      <c r="AJ86" s="108">
        <f t="shared" ca="1" si="106"/>
        <v>10999796</v>
      </c>
      <c r="AK86" s="99"/>
    </row>
    <row r="87" spans="1:74" ht="15.75" customHeight="1" x14ac:dyDescent="0.25"/>
    <row r="88" spans="1:74" ht="15.75" customHeight="1" x14ac:dyDescent="0.25"/>
    <row r="89" spans="1:74" ht="15.75" customHeight="1" x14ac:dyDescent="0.25"/>
    <row r="90" spans="1:74" ht="15.75" customHeight="1" x14ac:dyDescent="0.25"/>
    <row r="91" spans="1:74" ht="15.75" customHeight="1" x14ac:dyDescent="0.25"/>
    <row r="92" spans="1:74" ht="15.75" customHeight="1" x14ac:dyDescent="0.25"/>
    <row r="93" spans="1:74" ht="15.75" customHeight="1" x14ac:dyDescent="0.25"/>
    <row r="94" spans="1:74" ht="15.75" customHeight="1" x14ac:dyDescent="0.25"/>
    <row r="95" spans="1:74" ht="15.75" customHeight="1" x14ac:dyDescent="0.25"/>
    <row r="96" spans="1:7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7:D7"/>
    <mergeCell ref="E7:G7"/>
    <mergeCell ref="A1:F1"/>
    <mergeCell ref="A5:D5"/>
    <mergeCell ref="E5:G5"/>
    <mergeCell ref="A6:D6"/>
    <mergeCell ref="E6:G6"/>
    <mergeCell ref="A84:E84"/>
    <mergeCell ref="AJ84:AK84"/>
    <mergeCell ref="A85:E85"/>
    <mergeCell ref="AJ85:AK85"/>
    <mergeCell ref="A86:E86"/>
    <mergeCell ref="AJ86:AK86"/>
  </mergeCells>
  <conditionalFormatting sqref="F9:AI82">
    <cfRule type="cellIs" dxfId="1" priority="1" operator="greaterThan">
      <formula>0</formula>
    </cfRule>
    <cfRule type="cellIs" dxfId="0" priority="2" operator="equal">
      <formula>0</formula>
    </cfRule>
  </conditionalFormatting>
  <dataValidations disablePrompts="1" count="1">
    <dataValidation type="decimal" allowBlank="1" showInputMessage="1" showErrorMessage="1" prompt="Nhập biên độ tối đa - Nhập từ 10% đến 100%, ví dụ 80%. Bảng sẽ tự điều chỉnh mức dao động." sqref="D3:D4" xr:uid="{00000000-0002-0000-0400-000000000000}">
      <formula1>0.1</formula1>
      <formula2>1</formula2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Vật tư hàng hóa</vt:lpstr>
      <vt:lpstr>T4.2026</vt:lpstr>
      <vt:lpstr>Phân bổ bán hàng</vt:lpstr>
      <vt:lpstr>BAO CAO BAN HANG</vt:lpstr>
      <vt:lpstr>SL bán theo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KHUONG THORK</cp:lastModifiedBy>
  <dcterms:modified xsi:type="dcterms:W3CDTF">2026-09-08T17:24:25Z</dcterms:modified>
</cp:coreProperties>
</file>